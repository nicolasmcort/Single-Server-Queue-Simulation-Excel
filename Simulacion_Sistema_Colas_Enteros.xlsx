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unaledu-my.sharepoint.com/personal/evmunoz_unal_edu_co/Documents/GENERAL/Documents/UNAL/Semestre 5/Modelos y Simulación/"/>
    </mc:Choice>
  </mc:AlternateContent>
  <xr:revisionPtr revIDLastSave="0" documentId="11_D7B1977462E56CA7B649268CFEC6835F4CB036EA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1. Caso Base (U-U)" sheetId="1" r:id="rId1"/>
    <sheet name="2. Escenario 1 (Exp-U)" sheetId="2" r:id="rId2"/>
    <sheet name="3. Escenario 2 (U-Norm)" sheetId="3" r:id="rId3"/>
    <sheet name="Resumen y Comparación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1" i="3" l="1"/>
  <c r="F51" i="3" s="1"/>
  <c r="B51" i="3"/>
  <c r="C51" i="3" s="1"/>
  <c r="E50" i="3"/>
  <c r="F50" i="3" s="1"/>
  <c r="B50" i="3"/>
  <c r="C50" i="3" s="1"/>
  <c r="E49" i="3"/>
  <c r="F49" i="3" s="1"/>
  <c r="B49" i="3"/>
  <c r="C49" i="3" s="1"/>
  <c r="E48" i="3"/>
  <c r="F48" i="3" s="1"/>
  <c r="B48" i="3"/>
  <c r="C48" i="3" s="1"/>
  <c r="E47" i="3"/>
  <c r="F47" i="3" s="1"/>
  <c r="B47" i="3"/>
  <c r="C47" i="3" s="1"/>
  <c r="E46" i="3"/>
  <c r="F46" i="3" s="1"/>
  <c r="B46" i="3"/>
  <c r="C46" i="3" s="1"/>
  <c r="E45" i="3"/>
  <c r="F45" i="3" s="1"/>
  <c r="B45" i="3"/>
  <c r="C45" i="3" s="1"/>
  <c r="E44" i="3"/>
  <c r="F44" i="3" s="1"/>
  <c r="B44" i="3"/>
  <c r="C44" i="3" s="1"/>
  <c r="E43" i="3"/>
  <c r="F43" i="3" s="1"/>
  <c r="B43" i="3"/>
  <c r="C43" i="3" s="1"/>
  <c r="E42" i="3"/>
  <c r="F42" i="3" s="1"/>
  <c r="B42" i="3"/>
  <c r="C42" i="3" s="1"/>
  <c r="E41" i="3"/>
  <c r="F41" i="3" s="1"/>
  <c r="B41" i="3"/>
  <c r="C41" i="3" s="1"/>
  <c r="E40" i="3"/>
  <c r="F40" i="3" s="1"/>
  <c r="B40" i="3"/>
  <c r="C40" i="3" s="1"/>
  <c r="E39" i="3"/>
  <c r="F39" i="3" s="1"/>
  <c r="B39" i="3"/>
  <c r="C39" i="3" s="1"/>
  <c r="E38" i="3"/>
  <c r="F38" i="3" s="1"/>
  <c r="B38" i="3"/>
  <c r="C38" i="3" s="1"/>
  <c r="E37" i="3"/>
  <c r="F37" i="3" s="1"/>
  <c r="B37" i="3"/>
  <c r="C37" i="3" s="1"/>
  <c r="E36" i="3"/>
  <c r="F36" i="3" s="1"/>
  <c r="B36" i="3"/>
  <c r="C36" i="3" s="1"/>
  <c r="E35" i="3"/>
  <c r="F35" i="3" s="1"/>
  <c r="B35" i="3"/>
  <c r="C35" i="3" s="1"/>
  <c r="E34" i="3"/>
  <c r="F34" i="3" s="1"/>
  <c r="B34" i="3"/>
  <c r="C34" i="3" s="1"/>
  <c r="E33" i="3"/>
  <c r="F33" i="3" s="1"/>
  <c r="B33" i="3"/>
  <c r="C33" i="3" s="1"/>
  <c r="E32" i="3"/>
  <c r="F32" i="3" s="1"/>
  <c r="B32" i="3"/>
  <c r="C32" i="3" s="1"/>
  <c r="E31" i="3"/>
  <c r="F31" i="3" s="1"/>
  <c r="B31" i="3"/>
  <c r="C31" i="3" s="1"/>
  <c r="E30" i="3"/>
  <c r="F30" i="3" s="1"/>
  <c r="B30" i="3"/>
  <c r="C30" i="3" s="1"/>
  <c r="E29" i="3"/>
  <c r="F29" i="3" s="1"/>
  <c r="B29" i="3"/>
  <c r="C29" i="3" s="1"/>
  <c r="E28" i="3"/>
  <c r="F28" i="3" s="1"/>
  <c r="B28" i="3"/>
  <c r="C28" i="3" s="1"/>
  <c r="E27" i="3"/>
  <c r="F27" i="3" s="1"/>
  <c r="B27" i="3"/>
  <c r="C27" i="3" s="1"/>
  <c r="E26" i="3"/>
  <c r="F26" i="3" s="1"/>
  <c r="B26" i="3"/>
  <c r="C26" i="3" s="1"/>
  <c r="E25" i="3"/>
  <c r="F25" i="3" s="1"/>
  <c r="B25" i="3"/>
  <c r="C25" i="3" s="1"/>
  <c r="E24" i="3"/>
  <c r="F24" i="3" s="1"/>
  <c r="B24" i="3"/>
  <c r="C24" i="3" s="1"/>
  <c r="E23" i="3"/>
  <c r="F23" i="3" s="1"/>
  <c r="B23" i="3"/>
  <c r="C23" i="3" s="1"/>
  <c r="E22" i="3"/>
  <c r="F22" i="3" s="1"/>
  <c r="B22" i="3"/>
  <c r="C22" i="3" s="1"/>
  <c r="E21" i="3"/>
  <c r="F21" i="3" s="1"/>
  <c r="B21" i="3"/>
  <c r="C21" i="3" s="1"/>
  <c r="E20" i="3"/>
  <c r="F20" i="3" s="1"/>
  <c r="B20" i="3"/>
  <c r="C20" i="3" s="1"/>
  <c r="E19" i="3"/>
  <c r="F19" i="3" s="1"/>
  <c r="B19" i="3"/>
  <c r="C19" i="3" s="1"/>
  <c r="E18" i="3"/>
  <c r="F18" i="3" s="1"/>
  <c r="B18" i="3"/>
  <c r="C18" i="3" s="1"/>
  <c r="E17" i="3"/>
  <c r="F17" i="3" s="1"/>
  <c r="B17" i="3"/>
  <c r="C17" i="3" s="1"/>
  <c r="E16" i="3"/>
  <c r="F16" i="3" s="1"/>
  <c r="B16" i="3"/>
  <c r="C16" i="3" s="1"/>
  <c r="E15" i="3"/>
  <c r="F15" i="3" s="1"/>
  <c r="B15" i="3"/>
  <c r="C15" i="3" s="1"/>
  <c r="E14" i="3"/>
  <c r="F14" i="3" s="1"/>
  <c r="B14" i="3"/>
  <c r="C14" i="3" s="1"/>
  <c r="E13" i="3"/>
  <c r="F13" i="3" s="1"/>
  <c r="B13" i="3"/>
  <c r="C13" i="3" s="1"/>
  <c r="E12" i="3"/>
  <c r="F12" i="3" s="1"/>
  <c r="B12" i="3"/>
  <c r="C12" i="3" s="1"/>
  <c r="E11" i="3"/>
  <c r="F11" i="3" s="1"/>
  <c r="B11" i="3"/>
  <c r="C11" i="3" s="1"/>
  <c r="E10" i="3"/>
  <c r="F10" i="3" s="1"/>
  <c r="B10" i="3"/>
  <c r="C10" i="3" s="1"/>
  <c r="E9" i="3"/>
  <c r="F9" i="3" s="1"/>
  <c r="B9" i="3"/>
  <c r="C9" i="3" s="1"/>
  <c r="E8" i="3"/>
  <c r="F8" i="3" s="1"/>
  <c r="B8" i="3"/>
  <c r="C8" i="3" s="1"/>
  <c r="E7" i="3"/>
  <c r="F7" i="3" s="1"/>
  <c r="B7" i="3"/>
  <c r="C7" i="3" s="1"/>
  <c r="E6" i="3"/>
  <c r="F6" i="3" s="1"/>
  <c r="B6" i="3"/>
  <c r="C6" i="3" s="1"/>
  <c r="E5" i="3"/>
  <c r="F5" i="3" s="1"/>
  <c r="B5" i="3"/>
  <c r="C5" i="3" s="1"/>
  <c r="E4" i="3"/>
  <c r="F4" i="3" s="1"/>
  <c r="B4" i="3"/>
  <c r="C4" i="3" s="1"/>
  <c r="E3" i="3"/>
  <c r="F3" i="3" s="1"/>
  <c r="B3" i="3"/>
  <c r="C3" i="3" s="1"/>
  <c r="E2" i="3"/>
  <c r="F2" i="3" s="1"/>
  <c r="B2" i="3"/>
  <c r="C2" i="3" s="1"/>
  <c r="D2" i="3" s="1"/>
  <c r="E51" i="2"/>
  <c r="F51" i="2" s="1"/>
  <c r="B51" i="2"/>
  <c r="C51" i="2" s="1"/>
  <c r="E50" i="2"/>
  <c r="F50" i="2" s="1"/>
  <c r="B50" i="2"/>
  <c r="C50" i="2" s="1"/>
  <c r="E49" i="2"/>
  <c r="F49" i="2" s="1"/>
  <c r="B49" i="2"/>
  <c r="C49" i="2" s="1"/>
  <c r="E48" i="2"/>
  <c r="F48" i="2" s="1"/>
  <c r="B48" i="2"/>
  <c r="C48" i="2" s="1"/>
  <c r="E47" i="2"/>
  <c r="F47" i="2" s="1"/>
  <c r="B47" i="2"/>
  <c r="C47" i="2" s="1"/>
  <c r="E46" i="2"/>
  <c r="F46" i="2" s="1"/>
  <c r="B46" i="2"/>
  <c r="C46" i="2" s="1"/>
  <c r="E45" i="2"/>
  <c r="F45" i="2" s="1"/>
  <c r="B45" i="2"/>
  <c r="C45" i="2" s="1"/>
  <c r="E44" i="2"/>
  <c r="F44" i="2" s="1"/>
  <c r="B44" i="2"/>
  <c r="C44" i="2" s="1"/>
  <c r="E43" i="2"/>
  <c r="F43" i="2" s="1"/>
  <c r="B43" i="2"/>
  <c r="C43" i="2" s="1"/>
  <c r="E42" i="2"/>
  <c r="F42" i="2" s="1"/>
  <c r="B42" i="2"/>
  <c r="C42" i="2" s="1"/>
  <c r="E41" i="2"/>
  <c r="F41" i="2" s="1"/>
  <c r="B41" i="2"/>
  <c r="C41" i="2" s="1"/>
  <c r="E40" i="2"/>
  <c r="F40" i="2" s="1"/>
  <c r="B40" i="2"/>
  <c r="C40" i="2" s="1"/>
  <c r="E39" i="2"/>
  <c r="F39" i="2" s="1"/>
  <c r="B39" i="2"/>
  <c r="C39" i="2" s="1"/>
  <c r="E38" i="2"/>
  <c r="F38" i="2" s="1"/>
  <c r="B38" i="2"/>
  <c r="C38" i="2" s="1"/>
  <c r="E37" i="2"/>
  <c r="F37" i="2" s="1"/>
  <c r="B37" i="2"/>
  <c r="C37" i="2" s="1"/>
  <c r="E36" i="2"/>
  <c r="F36" i="2" s="1"/>
  <c r="B36" i="2"/>
  <c r="C36" i="2" s="1"/>
  <c r="E35" i="2"/>
  <c r="F35" i="2" s="1"/>
  <c r="B35" i="2"/>
  <c r="C35" i="2" s="1"/>
  <c r="E34" i="2"/>
  <c r="F34" i="2" s="1"/>
  <c r="B34" i="2"/>
  <c r="C34" i="2" s="1"/>
  <c r="E33" i="2"/>
  <c r="F33" i="2" s="1"/>
  <c r="B33" i="2"/>
  <c r="C33" i="2" s="1"/>
  <c r="E32" i="2"/>
  <c r="F32" i="2" s="1"/>
  <c r="B32" i="2"/>
  <c r="C32" i="2" s="1"/>
  <c r="E31" i="2"/>
  <c r="F31" i="2" s="1"/>
  <c r="B31" i="2"/>
  <c r="C31" i="2" s="1"/>
  <c r="E30" i="2"/>
  <c r="F30" i="2" s="1"/>
  <c r="B30" i="2"/>
  <c r="C30" i="2" s="1"/>
  <c r="E29" i="2"/>
  <c r="F29" i="2" s="1"/>
  <c r="B29" i="2"/>
  <c r="C29" i="2" s="1"/>
  <c r="E28" i="2"/>
  <c r="F28" i="2" s="1"/>
  <c r="B28" i="2"/>
  <c r="C28" i="2" s="1"/>
  <c r="E27" i="2"/>
  <c r="F27" i="2" s="1"/>
  <c r="B27" i="2"/>
  <c r="C27" i="2" s="1"/>
  <c r="E26" i="2"/>
  <c r="F26" i="2" s="1"/>
  <c r="B26" i="2"/>
  <c r="C26" i="2" s="1"/>
  <c r="E25" i="2"/>
  <c r="F25" i="2" s="1"/>
  <c r="B25" i="2"/>
  <c r="C25" i="2" s="1"/>
  <c r="E24" i="2"/>
  <c r="F24" i="2" s="1"/>
  <c r="B24" i="2"/>
  <c r="C24" i="2" s="1"/>
  <c r="E23" i="2"/>
  <c r="F23" i="2" s="1"/>
  <c r="B23" i="2"/>
  <c r="C23" i="2" s="1"/>
  <c r="E22" i="2"/>
  <c r="F22" i="2" s="1"/>
  <c r="B22" i="2"/>
  <c r="C22" i="2" s="1"/>
  <c r="E21" i="2"/>
  <c r="F21" i="2" s="1"/>
  <c r="B21" i="2"/>
  <c r="C21" i="2" s="1"/>
  <c r="E20" i="2"/>
  <c r="F20" i="2" s="1"/>
  <c r="B20" i="2"/>
  <c r="C20" i="2" s="1"/>
  <c r="E19" i="2"/>
  <c r="F19" i="2" s="1"/>
  <c r="B19" i="2"/>
  <c r="C19" i="2" s="1"/>
  <c r="E18" i="2"/>
  <c r="F18" i="2" s="1"/>
  <c r="B18" i="2"/>
  <c r="C18" i="2" s="1"/>
  <c r="E17" i="2"/>
  <c r="F17" i="2" s="1"/>
  <c r="B17" i="2"/>
  <c r="C17" i="2" s="1"/>
  <c r="E16" i="2"/>
  <c r="F16" i="2" s="1"/>
  <c r="B16" i="2"/>
  <c r="C16" i="2" s="1"/>
  <c r="E15" i="2"/>
  <c r="F15" i="2" s="1"/>
  <c r="B15" i="2"/>
  <c r="C15" i="2" s="1"/>
  <c r="E14" i="2"/>
  <c r="F14" i="2" s="1"/>
  <c r="B14" i="2"/>
  <c r="C14" i="2" s="1"/>
  <c r="E13" i="2"/>
  <c r="F13" i="2" s="1"/>
  <c r="B13" i="2"/>
  <c r="C13" i="2" s="1"/>
  <c r="E12" i="2"/>
  <c r="F12" i="2" s="1"/>
  <c r="B12" i="2"/>
  <c r="C12" i="2" s="1"/>
  <c r="E11" i="2"/>
  <c r="F11" i="2" s="1"/>
  <c r="B11" i="2"/>
  <c r="C11" i="2" s="1"/>
  <c r="E10" i="2"/>
  <c r="F10" i="2" s="1"/>
  <c r="B10" i="2"/>
  <c r="C10" i="2" s="1"/>
  <c r="E9" i="2"/>
  <c r="F9" i="2" s="1"/>
  <c r="B9" i="2"/>
  <c r="C9" i="2" s="1"/>
  <c r="E8" i="2"/>
  <c r="F8" i="2" s="1"/>
  <c r="B8" i="2"/>
  <c r="C8" i="2" s="1"/>
  <c r="E7" i="2"/>
  <c r="F7" i="2" s="1"/>
  <c r="B7" i="2"/>
  <c r="C7" i="2" s="1"/>
  <c r="E6" i="2"/>
  <c r="F6" i="2" s="1"/>
  <c r="B6" i="2"/>
  <c r="C6" i="2" s="1"/>
  <c r="E5" i="2"/>
  <c r="F5" i="2" s="1"/>
  <c r="B5" i="2"/>
  <c r="C5" i="2" s="1"/>
  <c r="E4" i="2"/>
  <c r="F4" i="2" s="1"/>
  <c r="B4" i="2"/>
  <c r="C4" i="2" s="1"/>
  <c r="E3" i="2"/>
  <c r="F3" i="2" s="1"/>
  <c r="B3" i="2"/>
  <c r="C3" i="2" s="1"/>
  <c r="E2" i="2"/>
  <c r="F2" i="2" s="1"/>
  <c r="B2" i="2"/>
  <c r="C2" i="2" s="1"/>
  <c r="D2" i="2" s="1"/>
  <c r="E51" i="1"/>
  <c r="F51" i="1" s="1"/>
  <c r="B51" i="1"/>
  <c r="C51" i="1" s="1"/>
  <c r="E50" i="1"/>
  <c r="F50" i="1" s="1"/>
  <c r="B50" i="1"/>
  <c r="C50" i="1" s="1"/>
  <c r="E49" i="1"/>
  <c r="F49" i="1" s="1"/>
  <c r="B49" i="1"/>
  <c r="C49" i="1" s="1"/>
  <c r="E48" i="1"/>
  <c r="F48" i="1" s="1"/>
  <c r="B48" i="1"/>
  <c r="C48" i="1" s="1"/>
  <c r="E47" i="1"/>
  <c r="F47" i="1" s="1"/>
  <c r="B47" i="1"/>
  <c r="C47" i="1" s="1"/>
  <c r="E46" i="1"/>
  <c r="F46" i="1" s="1"/>
  <c r="B46" i="1"/>
  <c r="C46" i="1" s="1"/>
  <c r="E45" i="1"/>
  <c r="F45" i="1" s="1"/>
  <c r="B45" i="1"/>
  <c r="C45" i="1" s="1"/>
  <c r="E44" i="1"/>
  <c r="F44" i="1" s="1"/>
  <c r="B44" i="1"/>
  <c r="C44" i="1" s="1"/>
  <c r="E43" i="1"/>
  <c r="F43" i="1" s="1"/>
  <c r="B43" i="1"/>
  <c r="C43" i="1" s="1"/>
  <c r="E42" i="1"/>
  <c r="F42" i="1" s="1"/>
  <c r="B42" i="1"/>
  <c r="C42" i="1" s="1"/>
  <c r="E41" i="1"/>
  <c r="F41" i="1" s="1"/>
  <c r="B41" i="1"/>
  <c r="C41" i="1" s="1"/>
  <c r="E40" i="1"/>
  <c r="F40" i="1" s="1"/>
  <c r="B40" i="1"/>
  <c r="C40" i="1" s="1"/>
  <c r="E39" i="1"/>
  <c r="F39" i="1" s="1"/>
  <c r="B39" i="1"/>
  <c r="C39" i="1" s="1"/>
  <c r="E38" i="1"/>
  <c r="F38" i="1" s="1"/>
  <c r="B38" i="1"/>
  <c r="C38" i="1" s="1"/>
  <c r="E37" i="1"/>
  <c r="F37" i="1" s="1"/>
  <c r="B37" i="1"/>
  <c r="C37" i="1" s="1"/>
  <c r="E36" i="1"/>
  <c r="F36" i="1" s="1"/>
  <c r="B36" i="1"/>
  <c r="C36" i="1" s="1"/>
  <c r="E35" i="1"/>
  <c r="F35" i="1" s="1"/>
  <c r="B35" i="1"/>
  <c r="C35" i="1" s="1"/>
  <c r="E34" i="1"/>
  <c r="F34" i="1" s="1"/>
  <c r="B34" i="1"/>
  <c r="C34" i="1" s="1"/>
  <c r="E33" i="1"/>
  <c r="F33" i="1" s="1"/>
  <c r="B33" i="1"/>
  <c r="C33" i="1" s="1"/>
  <c r="E32" i="1"/>
  <c r="F32" i="1" s="1"/>
  <c r="B32" i="1"/>
  <c r="C32" i="1" s="1"/>
  <c r="E31" i="1"/>
  <c r="F31" i="1" s="1"/>
  <c r="B31" i="1"/>
  <c r="C31" i="1" s="1"/>
  <c r="E30" i="1"/>
  <c r="F30" i="1" s="1"/>
  <c r="B30" i="1"/>
  <c r="C30" i="1" s="1"/>
  <c r="E29" i="1"/>
  <c r="F29" i="1" s="1"/>
  <c r="B29" i="1"/>
  <c r="C29" i="1" s="1"/>
  <c r="E28" i="1"/>
  <c r="F28" i="1" s="1"/>
  <c r="B28" i="1"/>
  <c r="C28" i="1" s="1"/>
  <c r="E27" i="1"/>
  <c r="F27" i="1" s="1"/>
  <c r="B27" i="1"/>
  <c r="C27" i="1" s="1"/>
  <c r="E26" i="1"/>
  <c r="F26" i="1" s="1"/>
  <c r="B26" i="1"/>
  <c r="C26" i="1" s="1"/>
  <c r="E25" i="1"/>
  <c r="F25" i="1" s="1"/>
  <c r="B25" i="1"/>
  <c r="C25" i="1" s="1"/>
  <c r="E24" i="1"/>
  <c r="F24" i="1" s="1"/>
  <c r="B24" i="1"/>
  <c r="C24" i="1" s="1"/>
  <c r="E23" i="1"/>
  <c r="F23" i="1" s="1"/>
  <c r="B23" i="1"/>
  <c r="C23" i="1" s="1"/>
  <c r="E22" i="1"/>
  <c r="F22" i="1" s="1"/>
  <c r="B22" i="1"/>
  <c r="C22" i="1" s="1"/>
  <c r="E21" i="1"/>
  <c r="F21" i="1" s="1"/>
  <c r="B21" i="1"/>
  <c r="C21" i="1" s="1"/>
  <c r="E20" i="1"/>
  <c r="F20" i="1" s="1"/>
  <c r="B20" i="1"/>
  <c r="C20" i="1" s="1"/>
  <c r="E19" i="1"/>
  <c r="F19" i="1" s="1"/>
  <c r="B19" i="1"/>
  <c r="C19" i="1" s="1"/>
  <c r="E18" i="1"/>
  <c r="F18" i="1" s="1"/>
  <c r="B18" i="1"/>
  <c r="C18" i="1" s="1"/>
  <c r="E17" i="1"/>
  <c r="F17" i="1" s="1"/>
  <c r="B17" i="1"/>
  <c r="C17" i="1" s="1"/>
  <c r="E16" i="1"/>
  <c r="F16" i="1" s="1"/>
  <c r="B16" i="1"/>
  <c r="C16" i="1" s="1"/>
  <c r="E15" i="1"/>
  <c r="F15" i="1" s="1"/>
  <c r="B15" i="1"/>
  <c r="C15" i="1" s="1"/>
  <c r="E14" i="1"/>
  <c r="F14" i="1" s="1"/>
  <c r="B14" i="1"/>
  <c r="C14" i="1" s="1"/>
  <c r="E13" i="1"/>
  <c r="F13" i="1" s="1"/>
  <c r="B13" i="1"/>
  <c r="C13" i="1" s="1"/>
  <c r="E12" i="1"/>
  <c r="F12" i="1" s="1"/>
  <c r="B12" i="1"/>
  <c r="C12" i="1" s="1"/>
  <c r="E11" i="1"/>
  <c r="F11" i="1" s="1"/>
  <c r="B11" i="1"/>
  <c r="C11" i="1" s="1"/>
  <c r="E10" i="1"/>
  <c r="F10" i="1" s="1"/>
  <c r="B10" i="1"/>
  <c r="C10" i="1" s="1"/>
  <c r="E9" i="1"/>
  <c r="F9" i="1" s="1"/>
  <c r="B9" i="1"/>
  <c r="C9" i="1" s="1"/>
  <c r="E8" i="1"/>
  <c r="F8" i="1" s="1"/>
  <c r="B8" i="1"/>
  <c r="C8" i="1" s="1"/>
  <c r="E7" i="1"/>
  <c r="F7" i="1" s="1"/>
  <c r="B7" i="1"/>
  <c r="C7" i="1" s="1"/>
  <c r="E6" i="1"/>
  <c r="F6" i="1" s="1"/>
  <c r="B6" i="1"/>
  <c r="C6" i="1" s="1"/>
  <c r="E5" i="1"/>
  <c r="F5" i="1" s="1"/>
  <c r="B5" i="1"/>
  <c r="C5" i="1" s="1"/>
  <c r="E4" i="1"/>
  <c r="F4" i="1" s="1"/>
  <c r="B4" i="1"/>
  <c r="C4" i="1" s="1"/>
  <c r="E3" i="1"/>
  <c r="F3" i="1" s="1"/>
  <c r="B3" i="1"/>
  <c r="C3" i="1" s="1"/>
  <c r="E2" i="1"/>
  <c r="F2" i="1" s="1"/>
  <c r="B2" i="1"/>
  <c r="C2" i="1" s="1"/>
  <c r="D2" i="1" s="1"/>
  <c r="D3" i="3" l="1"/>
  <c r="D4" i="3" s="1"/>
  <c r="D5" i="3" s="1"/>
  <c r="D3" i="1"/>
  <c r="D4" i="1" s="1"/>
  <c r="D5" i="1" s="1"/>
  <c r="K2" i="1"/>
  <c r="D3" i="2"/>
  <c r="K2" i="2"/>
  <c r="G2" i="2"/>
  <c r="G2" i="1"/>
  <c r="G2" i="3"/>
  <c r="K2" i="3"/>
  <c r="J2" i="3" l="1"/>
  <c r="H2" i="3"/>
  <c r="D6" i="1"/>
  <c r="D6" i="3"/>
  <c r="J2" i="2"/>
  <c r="H2" i="2"/>
  <c r="I2" i="2" s="1"/>
  <c r="J2" i="1"/>
  <c r="H2" i="1"/>
  <c r="D4" i="2"/>
  <c r="G3" i="2" l="1"/>
  <c r="J3" i="2" s="1"/>
  <c r="D5" i="2"/>
  <c r="I2" i="1"/>
  <c r="G3" i="1"/>
  <c r="D7" i="3"/>
  <c r="I2" i="3"/>
  <c r="G3" i="3"/>
  <c r="D7" i="1"/>
  <c r="H3" i="2" l="1"/>
  <c r="I3" i="2" s="1"/>
  <c r="K3" i="2"/>
  <c r="D8" i="1"/>
  <c r="K3" i="1"/>
  <c r="J3" i="1"/>
  <c r="H3" i="1"/>
  <c r="K3" i="3"/>
  <c r="H3" i="3"/>
  <c r="J3" i="3"/>
  <c r="D8" i="3"/>
  <c r="D6" i="2"/>
  <c r="G4" i="2" l="1"/>
  <c r="J4" i="2" s="1"/>
  <c r="I3" i="1"/>
  <c r="G4" i="1"/>
  <c r="D9" i="3"/>
  <c r="I3" i="3"/>
  <c r="G4" i="3"/>
  <c r="D9" i="1"/>
  <c r="D7" i="2"/>
  <c r="K4" i="2" l="1"/>
  <c r="H4" i="2"/>
  <c r="I4" i="2" s="1"/>
  <c r="D10" i="1"/>
  <c r="D10" i="3"/>
  <c r="D8" i="2"/>
  <c r="J4" i="3"/>
  <c r="K4" i="3"/>
  <c r="H4" i="3"/>
  <c r="J4" i="1"/>
  <c r="K4" i="1"/>
  <c r="H4" i="1"/>
  <c r="G5" i="2" l="1"/>
  <c r="K5" i="2" s="1"/>
  <c r="I4" i="3"/>
  <c r="G5" i="3"/>
  <c r="I4" i="1"/>
  <c r="G5" i="1"/>
  <c r="D9" i="2"/>
  <c r="D11" i="3"/>
  <c r="D11" i="1"/>
  <c r="J5" i="2" l="1"/>
  <c r="H5" i="2"/>
  <c r="G6" i="2" s="1"/>
  <c r="D12" i="1"/>
  <c r="D12" i="3"/>
  <c r="K5" i="1"/>
  <c r="H5" i="1"/>
  <c r="J5" i="1"/>
  <c r="K5" i="3"/>
  <c r="J5" i="3"/>
  <c r="H5" i="3"/>
  <c r="D10" i="2"/>
  <c r="I5" i="2" l="1"/>
  <c r="J6" i="2"/>
  <c r="K6" i="2"/>
  <c r="H6" i="2"/>
  <c r="D11" i="2"/>
  <c r="I5" i="3"/>
  <c r="G6" i="3"/>
  <c r="D13" i="1"/>
  <c r="I5" i="1"/>
  <c r="G6" i="1"/>
  <c r="D13" i="3"/>
  <c r="J6" i="3" l="1"/>
  <c r="H6" i="3"/>
  <c r="K6" i="3"/>
  <c r="J6" i="1"/>
  <c r="K6" i="1"/>
  <c r="H6" i="1"/>
  <c r="I6" i="2"/>
  <c r="G7" i="2"/>
  <c r="D14" i="3"/>
  <c r="D14" i="1"/>
  <c r="D12" i="2"/>
  <c r="D15" i="1" l="1"/>
  <c r="D15" i="3"/>
  <c r="K7" i="2"/>
  <c r="H7" i="2"/>
  <c r="J7" i="2"/>
  <c r="I6" i="1"/>
  <c r="G7" i="1"/>
  <c r="D13" i="2"/>
  <c r="I6" i="3"/>
  <c r="G7" i="3"/>
  <c r="D16" i="1" l="1"/>
  <c r="K7" i="1"/>
  <c r="J7" i="1"/>
  <c r="H7" i="1"/>
  <c r="D16" i="3"/>
  <c r="K7" i="3"/>
  <c r="H7" i="3"/>
  <c r="J7" i="3"/>
  <c r="D14" i="2"/>
  <c r="I7" i="2"/>
  <c r="G8" i="2"/>
  <c r="J8" i="2" l="1"/>
  <c r="K8" i="2"/>
  <c r="H8" i="2"/>
  <c r="D15" i="2"/>
  <c r="I7" i="3"/>
  <c r="G8" i="3"/>
  <c r="D17" i="3"/>
  <c r="I7" i="1"/>
  <c r="G8" i="1"/>
  <c r="D17" i="1"/>
  <c r="D16" i="2" l="1"/>
  <c r="J8" i="1"/>
  <c r="K8" i="1"/>
  <c r="H8" i="1"/>
  <c r="I8" i="2"/>
  <c r="G9" i="2"/>
  <c r="D18" i="1"/>
  <c r="D18" i="3"/>
  <c r="J8" i="3"/>
  <c r="K8" i="3"/>
  <c r="H8" i="3"/>
  <c r="K9" i="2" l="1"/>
  <c r="J9" i="2"/>
  <c r="H9" i="2"/>
  <c r="D17" i="2"/>
  <c r="D19" i="3"/>
  <c r="I8" i="1"/>
  <c r="G9" i="1"/>
  <c r="I8" i="3"/>
  <c r="G9" i="3"/>
  <c r="D19" i="1"/>
  <c r="D18" i="2" l="1"/>
  <c r="D20" i="1"/>
  <c r="D20" i="3"/>
  <c r="I9" i="2"/>
  <c r="G10" i="2"/>
  <c r="K9" i="3"/>
  <c r="J9" i="3"/>
  <c r="H9" i="3"/>
  <c r="K9" i="1"/>
  <c r="J9" i="1"/>
  <c r="H9" i="1"/>
  <c r="D21" i="3" l="1"/>
  <c r="D19" i="2"/>
  <c r="D21" i="1"/>
  <c r="I9" i="1"/>
  <c r="G10" i="1"/>
  <c r="I9" i="3"/>
  <c r="G10" i="3"/>
  <c r="J10" i="2"/>
  <c r="K10" i="2"/>
  <c r="H10" i="2"/>
  <c r="J10" i="3" l="1"/>
  <c r="K10" i="3"/>
  <c r="H10" i="3"/>
  <c r="I10" i="2"/>
  <c r="G11" i="2"/>
  <c r="J10" i="1"/>
  <c r="K10" i="1"/>
  <c r="H10" i="1"/>
  <c r="D22" i="1"/>
  <c r="D20" i="2"/>
  <c r="D22" i="3"/>
  <c r="D23" i="3" l="1"/>
  <c r="D21" i="2"/>
  <c r="D23" i="1"/>
  <c r="I10" i="1"/>
  <c r="G11" i="1"/>
  <c r="K11" i="2"/>
  <c r="J11" i="2"/>
  <c r="H11" i="2"/>
  <c r="I10" i="3"/>
  <c r="G11" i="3"/>
  <c r="K11" i="3" l="1"/>
  <c r="J11" i="3"/>
  <c r="H11" i="3"/>
  <c r="I11" i="2"/>
  <c r="G12" i="2"/>
  <c r="K11" i="1"/>
  <c r="J11" i="1"/>
  <c r="H11" i="1"/>
  <c r="D24" i="1"/>
  <c r="D22" i="2"/>
  <c r="D24" i="3"/>
  <c r="D25" i="1" l="1"/>
  <c r="I11" i="3"/>
  <c r="G12" i="3"/>
  <c r="D25" i="3"/>
  <c r="I11" i="1"/>
  <c r="G12" i="1"/>
  <c r="D23" i="2"/>
  <c r="J12" i="2"/>
  <c r="K12" i="2"/>
  <c r="H12" i="2"/>
  <c r="D24" i="2" l="1"/>
  <c r="J12" i="1"/>
  <c r="K12" i="1"/>
  <c r="H12" i="1"/>
  <c r="D26" i="3"/>
  <c r="I12" i="2"/>
  <c r="G13" i="2"/>
  <c r="J12" i="3"/>
  <c r="K12" i="3"/>
  <c r="H12" i="3"/>
  <c r="D26" i="1"/>
  <c r="D27" i="1" l="1"/>
  <c r="I12" i="3"/>
  <c r="G13" i="3"/>
  <c r="D27" i="3"/>
  <c r="I12" i="1"/>
  <c r="G13" i="1"/>
  <c r="D25" i="2"/>
  <c r="K13" i="2"/>
  <c r="J13" i="2"/>
  <c r="H13" i="2"/>
  <c r="D28" i="3" l="1"/>
  <c r="K13" i="1"/>
  <c r="J13" i="1"/>
  <c r="H13" i="1"/>
  <c r="I13" i="2"/>
  <c r="G14" i="2"/>
  <c r="D26" i="2"/>
  <c r="K13" i="3"/>
  <c r="J13" i="3"/>
  <c r="H13" i="3"/>
  <c r="D28" i="1"/>
  <c r="D27" i="2" l="1"/>
  <c r="D29" i="1"/>
  <c r="J14" i="2"/>
  <c r="K14" i="2"/>
  <c r="H14" i="2"/>
  <c r="I13" i="3"/>
  <c r="G14" i="3"/>
  <c r="I13" i="1"/>
  <c r="G14" i="1"/>
  <c r="D29" i="3"/>
  <c r="D30" i="3" l="1"/>
  <c r="J14" i="3"/>
  <c r="K14" i="3"/>
  <c r="H14" i="3"/>
  <c r="J14" i="1"/>
  <c r="K14" i="1"/>
  <c r="H14" i="1"/>
  <c r="I14" i="2"/>
  <c r="G15" i="2"/>
  <c r="D30" i="1"/>
  <c r="D28" i="2"/>
  <c r="K15" i="2" l="1"/>
  <c r="J15" i="2"/>
  <c r="H15" i="2"/>
  <c r="I14" i="1"/>
  <c r="G15" i="1"/>
  <c r="D29" i="2"/>
  <c r="D31" i="1"/>
  <c r="I14" i="3"/>
  <c r="G15" i="3"/>
  <c r="D31" i="3"/>
  <c r="K15" i="3" l="1"/>
  <c r="J15" i="3"/>
  <c r="H15" i="3"/>
  <c r="D32" i="3"/>
  <c r="K15" i="1"/>
  <c r="J15" i="1"/>
  <c r="H15" i="1"/>
  <c r="D32" i="1"/>
  <c r="D30" i="2"/>
  <c r="I15" i="2"/>
  <c r="G16" i="2"/>
  <c r="D31" i="2" l="1"/>
  <c r="D33" i="3"/>
  <c r="J16" i="2"/>
  <c r="K16" i="2"/>
  <c r="H16" i="2"/>
  <c r="D33" i="1"/>
  <c r="I15" i="1"/>
  <c r="G16" i="1"/>
  <c r="I15" i="3"/>
  <c r="G16" i="3"/>
  <c r="D34" i="1" l="1"/>
  <c r="D34" i="3"/>
  <c r="J16" i="3"/>
  <c r="H16" i="3"/>
  <c r="K16" i="3"/>
  <c r="J16" i="1"/>
  <c r="K16" i="1"/>
  <c r="H16" i="1"/>
  <c r="I16" i="2"/>
  <c r="G17" i="2"/>
  <c r="D32" i="2"/>
  <c r="D33" i="2" l="1"/>
  <c r="I16" i="1"/>
  <c r="G17" i="1"/>
  <c r="I16" i="3"/>
  <c r="G17" i="3"/>
  <c r="D35" i="1"/>
  <c r="K17" i="2"/>
  <c r="H17" i="2"/>
  <c r="J17" i="2"/>
  <c r="D35" i="3"/>
  <c r="I17" i="2" l="1"/>
  <c r="G18" i="2"/>
  <c r="K17" i="3"/>
  <c r="H17" i="3"/>
  <c r="J17" i="3"/>
  <c r="D36" i="3"/>
  <c r="D36" i="1"/>
  <c r="K17" i="1"/>
  <c r="H17" i="1"/>
  <c r="J17" i="1"/>
  <c r="D34" i="2"/>
  <c r="D35" i="2" l="1"/>
  <c r="I17" i="1"/>
  <c r="G18" i="1"/>
  <c r="D37" i="1"/>
  <c r="J18" i="2"/>
  <c r="K18" i="2"/>
  <c r="H18" i="2"/>
  <c r="D37" i="3"/>
  <c r="I17" i="3"/>
  <c r="G18" i="3"/>
  <c r="I18" i="2" l="1"/>
  <c r="G19" i="2"/>
  <c r="J18" i="3"/>
  <c r="H18" i="3"/>
  <c r="K18" i="3"/>
  <c r="J18" i="1"/>
  <c r="K18" i="1"/>
  <c r="H18" i="1"/>
  <c r="D38" i="3"/>
  <c r="D38" i="1"/>
  <c r="D36" i="2"/>
  <c r="D39" i="1" l="1"/>
  <c r="D37" i="2"/>
  <c r="D39" i="3"/>
  <c r="I18" i="1"/>
  <c r="G19" i="1"/>
  <c r="I18" i="3"/>
  <c r="G19" i="3"/>
  <c r="K19" i="2"/>
  <c r="H19" i="2"/>
  <c r="J19" i="2"/>
  <c r="I19" i="2" l="1"/>
  <c r="G20" i="2"/>
  <c r="K19" i="3"/>
  <c r="H19" i="3"/>
  <c r="J19" i="3"/>
  <c r="K19" i="1"/>
  <c r="J19" i="1"/>
  <c r="H19" i="1"/>
  <c r="D40" i="3"/>
  <c r="D38" i="2"/>
  <c r="D40" i="1"/>
  <c r="D41" i="1" l="1"/>
  <c r="J20" i="2"/>
  <c r="K20" i="2"/>
  <c r="H20" i="2"/>
  <c r="D39" i="2"/>
  <c r="D41" i="3"/>
  <c r="I19" i="1"/>
  <c r="G20" i="1"/>
  <c r="I19" i="3"/>
  <c r="G20" i="3"/>
  <c r="D40" i="2" l="1"/>
  <c r="J20" i="3"/>
  <c r="H20" i="3"/>
  <c r="K20" i="3"/>
  <c r="D42" i="3"/>
  <c r="J20" i="1"/>
  <c r="K20" i="1"/>
  <c r="H20" i="1"/>
  <c r="I20" i="2"/>
  <c r="G21" i="2"/>
  <c r="D42" i="1"/>
  <c r="D43" i="1" l="1"/>
  <c r="D43" i="3"/>
  <c r="K21" i="2"/>
  <c r="J21" i="2"/>
  <c r="H21" i="2"/>
  <c r="I20" i="3"/>
  <c r="G21" i="3"/>
  <c r="I20" i="1"/>
  <c r="G21" i="1"/>
  <c r="D41" i="2"/>
  <c r="D42" i="2" l="1"/>
  <c r="K21" i="3"/>
  <c r="J21" i="3"/>
  <c r="H21" i="3"/>
  <c r="I21" i="2"/>
  <c r="G22" i="2"/>
  <c r="D44" i="3"/>
  <c r="K21" i="1"/>
  <c r="H21" i="1"/>
  <c r="J21" i="1"/>
  <c r="D44" i="1"/>
  <c r="D45" i="1" l="1"/>
  <c r="I21" i="1"/>
  <c r="G22" i="1"/>
  <c r="D45" i="3"/>
  <c r="J22" i="2"/>
  <c r="K22" i="2"/>
  <c r="H22" i="2"/>
  <c r="I21" i="3"/>
  <c r="G22" i="3"/>
  <c r="D43" i="2"/>
  <c r="D44" i="2" l="1"/>
  <c r="J22" i="1"/>
  <c r="K22" i="1"/>
  <c r="H22" i="1"/>
  <c r="J22" i="3"/>
  <c r="H22" i="3"/>
  <c r="K22" i="3"/>
  <c r="I22" i="2"/>
  <c r="G23" i="2"/>
  <c r="D46" i="3"/>
  <c r="D46" i="1"/>
  <c r="D47" i="3" l="1"/>
  <c r="I22" i="1"/>
  <c r="G23" i="1"/>
  <c r="D45" i="2"/>
  <c r="D47" i="1"/>
  <c r="K23" i="2"/>
  <c r="J23" i="2"/>
  <c r="H23" i="2"/>
  <c r="I22" i="3"/>
  <c r="G23" i="3"/>
  <c r="K23" i="3" l="1"/>
  <c r="J23" i="3"/>
  <c r="H23" i="3"/>
  <c r="D46" i="2"/>
  <c r="I23" i="2"/>
  <c r="G24" i="2"/>
  <c r="D48" i="1"/>
  <c r="K23" i="1"/>
  <c r="J23" i="1"/>
  <c r="H23" i="1"/>
  <c r="D48" i="3"/>
  <c r="I23" i="1" l="1"/>
  <c r="G24" i="1"/>
  <c r="J24" i="2"/>
  <c r="K24" i="2"/>
  <c r="H24" i="2"/>
  <c r="I23" i="3"/>
  <c r="G24" i="3"/>
  <c r="D49" i="3"/>
  <c r="D49" i="1"/>
  <c r="D47" i="2"/>
  <c r="J24" i="3" l="1"/>
  <c r="H24" i="3"/>
  <c r="K24" i="3"/>
  <c r="D50" i="1"/>
  <c r="D50" i="3"/>
  <c r="D48" i="2"/>
  <c r="I24" i="2"/>
  <c r="G25" i="2"/>
  <c r="J24" i="1"/>
  <c r="K24" i="1"/>
  <c r="H24" i="1"/>
  <c r="I24" i="1" l="1"/>
  <c r="G25" i="1"/>
  <c r="D51" i="1"/>
  <c r="K25" i="2"/>
  <c r="J25" i="2"/>
  <c r="H25" i="2"/>
  <c r="D51" i="3"/>
  <c r="I24" i="3"/>
  <c r="G25" i="3"/>
  <c r="D49" i="2"/>
  <c r="I25" i="2" l="1"/>
  <c r="G26" i="2"/>
  <c r="D50" i="2"/>
  <c r="K25" i="1"/>
  <c r="J25" i="1"/>
  <c r="H25" i="1"/>
  <c r="K25" i="3"/>
  <c r="H25" i="3"/>
  <c r="J25" i="3"/>
  <c r="I25" i="3" l="1"/>
  <c r="G26" i="3"/>
  <c r="D51" i="2"/>
  <c r="I25" i="1"/>
  <c r="G26" i="1"/>
  <c r="J26" i="2"/>
  <c r="H26" i="2"/>
  <c r="K26" i="2"/>
  <c r="I26" i="2" l="1"/>
  <c r="G27" i="2"/>
  <c r="J26" i="3"/>
  <c r="H26" i="3"/>
  <c r="K26" i="3"/>
  <c r="J26" i="1"/>
  <c r="K26" i="1"/>
  <c r="H26" i="1"/>
  <c r="I26" i="3" l="1"/>
  <c r="G27" i="3"/>
  <c r="K27" i="2"/>
  <c r="H27" i="2"/>
  <c r="J27" i="2"/>
  <c r="I26" i="1"/>
  <c r="G27" i="1"/>
  <c r="K27" i="3" l="1"/>
  <c r="H27" i="3"/>
  <c r="J27" i="3"/>
  <c r="K27" i="1"/>
  <c r="J27" i="1"/>
  <c r="H27" i="1"/>
  <c r="I27" i="2"/>
  <c r="G28" i="2"/>
  <c r="I27" i="3" l="1"/>
  <c r="G28" i="3"/>
  <c r="J28" i="2"/>
  <c r="K28" i="2"/>
  <c r="H28" i="2"/>
  <c r="I27" i="1"/>
  <c r="G28" i="1"/>
  <c r="J28" i="1" l="1"/>
  <c r="H28" i="1"/>
  <c r="K28" i="1"/>
  <c r="I28" i="2"/>
  <c r="G29" i="2"/>
  <c r="J28" i="3"/>
  <c r="H28" i="3"/>
  <c r="K28" i="3"/>
  <c r="I28" i="3" l="1"/>
  <c r="G29" i="3"/>
  <c r="I28" i="1"/>
  <c r="G29" i="1"/>
  <c r="K29" i="2"/>
  <c r="H29" i="2"/>
  <c r="J29" i="2"/>
  <c r="I29" i="2" l="1"/>
  <c r="G30" i="2"/>
  <c r="K29" i="3"/>
  <c r="J29" i="3"/>
  <c r="H29" i="3"/>
  <c r="K29" i="1"/>
  <c r="J29" i="1"/>
  <c r="H29" i="1"/>
  <c r="I29" i="1" l="1"/>
  <c r="G30" i="1"/>
  <c r="J30" i="2"/>
  <c r="K30" i="2"/>
  <c r="H30" i="2"/>
  <c r="I29" i="3"/>
  <c r="G30" i="3"/>
  <c r="I30" i="2" l="1"/>
  <c r="G31" i="2"/>
  <c r="J30" i="1"/>
  <c r="K30" i="1"/>
  <c r="H30" i="1"/>
  <c r="J30" i="3"/>
  <c r="H30" i="3"/>
  <c r="K30" i="3"/>
  <c r="I30" i="1" l="1"/>
  <c r="G31" i="1"/>
  <c r="K31" i="2"/>
  <c r="J31" i="2"/>
  <c r="H31" i="2"/>
  <c r="I30" i="3"/>
  <c r="G31" i="3"/>
  <c r="K31" i="1" l="1"/>
  <c r="J31" i="1"/>
  <c r="H31" i="1"/>
  <c r="K31" i="3"/>
  <c r="H31" i="3"/>
  <c r="J31" i="3"/>
  <c r="I31" i="2"/>
  <c r="G32" i="2"/>
  <c r="J32" i="2" l="1"/>
  <c r="K32" i="2"/>
  <c r="H32" i="2"/>
  <c r="I31" i="3"/>
  <c r="G32" i="3"/>
  <c r="I31" i="1"/>
  <c r="G32" i="1"/>
  <c r="J32" i="3" l="1"/>
  <c r="H32" i="3"/>
  <c r="K32" i="3"/>
  <c r="I32" i="2"/>
  <c r="G33" i="2"/>
  <c r="J32" i="1"/>
  <c r="K32" i="1"/>
  <c r="H32" i="1"/>
  <c r="I32" i="1" l="1"/>
  <c r="G33" i="1"/>
  <c r="K33" i="2"/>
  <c r="J33" i="2"/>
  <c r="H33" i="2"/>
  <c r="I32" i="3"/>
  <c r="G33" i="3"/>
  <c r="I33" i="2" l="1"/>
  <c r="G34" i="2"/>
  <c r="K33" i="3"/>
  <c r="J33" i="3"/>
  <c r="H33" i="3"/>
  <c r="K33" i="1"/>
  <c r="J33" i="1"/>
  <c r="H33" i="1"/>
  <c r="I33" i="1" l="1"/>
  <c r="G34" i="1"/>
  <c r="I33" i="3"/>
  <c r="G34" i="3"/>
  <c r="J34" i="2"/>
  <c r="K34" i="2"/>
  <c r="H34" i="2"/>
  <c r="I34" i="2" l="1"/>
  <c r="G35" i="2"/>
  <c r="J34" i="1"/>
  <c r="K34" i="1"/>
  <c r="H34" i="1"/>
  <c r="J34" i="3"/>
  <c r="H34" i="3"/>
  <c r="K34" i="3"/>
  <c r="I34" i="1" l="1"/>
  <c r="G35" i="1"/>
  <c r="K35" i="2"/>
  <c r="J35" i="2"/>
  <c r="H35" i="2"/>
  <c r="I34" i="3"/>
  <c r="G35" i="3"/>
  <c r="K35" i="3" l="1"/>
  <c r="J35" i="3"/>
  <c r="H35" i="3"/>
  <c r="K35" i="1"/>
  <c r="J35" i="1"/>
  <c r="H35" i="1"/>
  <c r="I35" i="2"/>
  <c r="G36" i="2"/>
  <c r="I35" i="3" l="1"/>
  <c r="G36" i="3"/>
  <c r="J36" i="2"/>
  <c r="H36" i="2"/>
  <c r="K36" i="2"/>
  <c r="I35" i="1"/>
  <c r="G36" i="1"/>
  <c r="J36" i="3" l="1"/>
  <c r="H36" i="3"/>
  <c r="K36" i="3"/>
  <c r="J36" i="1"/>
  <c r="K36" i="1"/>
  <c r="H36" i="1"/>
  <c r="I36" i="2"/>
  <c r="G37" i="2"/>
  <c r="K37" i="2" l="1"/>
  <c r="H37" i="2"/>
  <c r="J37" i="2"/>
  <c r="I36" i="1"/>
  <c r="G37" i="1"/>
  <c r="I36" i="3"/>
  <c r="G37" i="3"/>
  <c r="K37" i="3" l="1"/>
  <c r="J37" i="3"/>
  <c r="H37" i="3"/>
  <c r="I37" i="2"/>
  <c r="G38" i="2"/>
  <c r="K37" i="1"/>
  <c r="H37" i="1"/>
  <c r="J37" i="1"/>
  <c r="I37" i="1" l="1"/>
  <c r="G38" i="1"/>
  <c r="I37" i="3"/>
  <c r="G38" i="3"/>
  <c r="J38" i="2"/>
  <c r="K38" i="2"/>
  <c r="H38" i="2"/>
  <c r="J38" i="1" l="1"/>
  <c r="K38" i="1"/>
  <c r="H38" i="1"/>
  <c r="I38" i="2"/>
  <c r="G39" i="2"/>
  <c r="J38" i="3"/>
  <c r="H38" i="3"/>
  <c r="K38" i="3"/>
  <c r="I38" i="1" l="1"/>
  <c r="G39" i="1"/>
  <c r="I38" i="3"/>
  <c r="G39" i="3"/>
  <c r="K39" i="2"/>
  <c r="H39" i="2"/>
  <c r="J39" i="2"/>
  <c r="I39" i="2" l="1"/>
  <c r="G40" i="2"/>
  <c r="K39" i="1"/>
  <c r="J39" i="1"/>
  <c r="H39" i="1"/>
  <c r="K39" i="3"/>
  <c r="J39" i="3"/>
  <c r="H39" i="3"/>
  <c r="J40" i="2" l="1"/>
  <c r="K40" i="2"/>
  <c r="H40" i="2"/>
  <c r="I39" i="3"/>
  <c r="G40" i="3"/>
  <c r="I39" i="1"/>
  <c r="G40" i="1"/>
  <c r="J40" i="1" l="1"/>
  <c r="K40" i="1"/>
  <c r="H40" i="1"/>
  <c r="I40" i="2"/>
  <c r="G41" i="2"/>
  <c r="J40" i="3"/>
  <c r="H40" i="3"/>
  <c r="K40" i="3"/>
  <c r="K41" i="2" l="1"/>
  <c r="J41" i="2"/>
  <c r="H41" i="2"/>
  <c r="I40" i="1"/>
  <c r="G41" i="1"/>
  <c r="I40" i="3"/>
  <c r="G41" i="3"/>
  <c r="I41" i="2" l="1"/>
  <c r="G42" i="2"/>
  <c r="K41" i="3"/>
  <c r="J41" i="3"/>
  <c r="H41" i="3"/>
  <c r="K41" i="1"/>
  <c r="J41" i="1"/>
  <c r="H41" i="1"/>
  <c r="I41" i="3" l="1"/>
  <c r="G42" i="3"/>
  <c r="I41" i="1"/>
  <c r="G42" i="1"/>
  <c r="J42" i="2"/>
  <c r="H42" i="2"/>
  <c r="K42" i="2"/>
  <c r="I42" i="2" l="1"/>
  <c r="G43" i="2"/>
  <c r="J42" i="3"/>
  <c r="H42" i="3"/>
  <c r="K42" i="3"/>
  <c r="J42" i="1"/>
  <c r="K42" i="1"/>
  <c r="H42" i="1"/>
  <c r="I42" i="1" l="1"/>
  <c r="G43" i="1"/>
  <c r="K43" i="2"/>
  <c r="J43" i="2"/>
  <c r="H43" i="2"/>
  <c r="I42" i="3"/>
  <c r="G43" i="3"/>
  <c r="K43" i="1" l="1"/>
  <c r="J43" i="1"/>
  <c r="H43" i="1"/>
  <c r="K43" i="3"/>
  <c r="J43" i="3"/>
  <c r="H43" i="3"/>
  <c r="I43" i="2"/>
  <c r="G44" i="2"/>
  <c r="I43" i="1" l="1"/>
  <c r="G44" i="1"/>
  <c r="J44" i="2"/>
  <c r="K44" i="2"/>
  <c r="H44" i="2"/>
  <c r="I43" i="3"/>
  <c r="G44" i="3"/>
  <c r="J44" i="1" l="1"/>
  <c r="K44" i="1"/>
  <c r="H44" i="1"/>
  <c r="J44" i="3"/>
  <c r="H44" i="3"/>
  <c r="K44" i="3"/>
  <c r="I44" i="2"/>
  <c r="G45" i="2"/>
  <c r="I44" i="3" l="1"/>
  <c r="G45" i="3"/>
  <c r="I44" i="1"/>
  <c r="G45" i="1"/>
  <c r="K45" i="2"/>
  <c r="J45" i="2"/>
  <c r="H45" i="2"/>
  <c r="I45" i="2" l="1"/>
  <c r="G46" i="2"/>
  <c r="K45" i="3"/>
  <c r="J45" i="3"/>
  <c r="H45" i="3"/>
  <c r="K45" i="1"/>
  <c r="J45" i="1"/>
  <c r="H45" i="1"/>
  <c r="I45" i="1" l="1"/>
  <c r="G46" i="1"/>
  <c r="I45" i="3"/>
  <c r="G46" i="3"/>
  <c r="J46" i="2"/>
  <c r="H46" i="2"/>
  <c r="K46" i="2"/>
  <c r="J46" i="1" l="1"/>
  <c r="K46" i="1"/>
  <c r="H46" i="1"/>
  <c r="I46" i="2"/>
  <c r="G47" i="2"/>
  <c r="J46" i="3"/>
  <c r="H46" i="3"/>
  <c r="K46" i="3"/>
  <c r="I46" i="3" l="1"/>
  <c r="G47" i="3"/>
  <c r="K47" i="2"/>
  <c r="H47" i="2"/>
  <c r="J47" i="2"/>
  <c r="I46" i="1"/>
  <c r="G47" i="1"/>
  <c r="K47" i="3" l="1"/>
  <c r="J47" i="3"/>
  <c r="H47" i="3"/>
  <c r="K47" i="1"/>
  <c r="H47" i="1"/>
  <c r="J47" i="1"/>
  <c r="I47" i="2"/>
  <c r="G48" i="2"/>
  <c r="I47" i="1" l="1"/>
  <c r="G48" i="1"/>
  <c r="J48" i="2"/>
  <c r="K48" i="2"/>
  <c r="H48" i="2"/>
  <c r="I47" i="3"/>
  <c r="G48" i="3"/>
  <c r="J48" i="3" l="1"/>
  <c r="H48" i="3"/>
  <c r="K48" i="3"/>
  <c r="J48" i="1"/>
  <c r="K48" i="1"/>
  <c r="H48" i="1"/>
  <c r="I48" i="2"/>
  <c r="G49" i="2"/>
  <c r="I48" i="1" l="1"/>
  <c r="G49" i="1"/>
  <c r="K49" i="2"/>
  <c r="J49" i="2"/>
  <c r="H49" i="2"/>
  <c r="I48" i="3"/>
  <c r="G49" i="3"/>
  <c r="K49" i="3" l="1"/>
  <c r="J49" i="3"/>
  <c r="H49" i="3"/>
  <c r="I49" i="2"/>
  <c r="G50" i="2"/>
  <c r="K49" i="1"/>
  <c r="J49" i="1"/>
  <c r="H49" i="1"/>
  <c r="I49" i="1" l="1"/>
  <c r="G50" i="1"/>
  <c r="J50" i="2"/>
  <c r="K50" i="2"/>
  <c r="H50" i="2"/>
  <c r="I49" i="3"/>
  <c r="G50" i="3"/>
  <c r="J50" i="3" l="1"/>
  <c r="H50" i="3"/>
  <c r="K50" i="3"/>
  <c r="I50" i="2"/>
  <c r="G51" i="2"/>
  <c r="J50" i="1"/>
  <c r="K50" i="1"/>
  <c r="H50" i="1"/>
  <c r="I50" i="3" l="1"/>
  <c r="G51" i="3"/>
  <c r="I50" i="1"/>
  <c r="G51" i="1"/>
  <c r="K51" i="2"/>
  <c r="C3" i="4" s="1"/>
  <c r="J51" i="2"/>
  <c r="C4" i="4" s="1"/>
  <c r="H51" i="2"/>
  <c r="I51" i="2" s="1"/>
  <c r="C2" i="4" s="1"/>
  <c r="K51" i="3" l="1"/>
  <c r="D3" i="4" s="1"/>
  <c r="J51" i="3"/>
  <c r="D4" i="4" s="1"/>
  <c r="H51" i="3"/>
  <c r="I51" i="3" s="1"/>
  <c r="D2" i="4" s="1"/>
  <c r="K51" i="1"/>
  <c r="B3" i="4" s="1"/>
  <c r="J51" i="1"/>
  <c r="B4" i="4" s="1"/>
  <c r="H51" i="1"/>
  <c r="I51" i="1" s="1"/>
  <c r="B2" i="4" s="1"/>
</calcChain>
</file>

<file path=xl/sharedStrings.xml><?xml version="1.0" encoding="utf-8"?>
<sst xmlns="http://schemas.openxmlformats.org/spreadsheetml/2006/main" count="40" uniqueCount="18">
  <si>
    <t>Cliente</t>
  </si>
  <si>
    <t>Aleatorio Arribo</t>
  </si>
  <si>
    <t>Tiempo entre llegadas (min)</t>
  </si>
  <si>
    <t>Tiempo de llegada</t>
  </si>
  <si>
    <t>Aleatorio Servicio</t>
  </si>
  <si>
    <t>Tiempo de servicio (min)</t>
  </si>
  <si>
    <t>Inicio de servicio</t>
  </si>
  <si>
    <t>Fin de servicio</t>
  </si>
  <si>
    <t>Tiempo en sistema (min)</t>
  </si>
  <si>
    <t>Tiempo de espera (min)</t>
  </si>
  <si>
    <t>Tiempo desocupado cajero (min)</t>
  </si>
  <si>
    <t>Métrica</t>
  </si>
  <si>
    <t>Caso Base (U-U)</t>
  </si>
  <si>
    <t>Escenario 1 (Exp-U)</t>
  </si>
  <si>
    <t>Escenario 2 (U-Norm)</t>
  </si>
  <si>
    <t>Tiempo Promedio en Sistema (min)</t>
  </si>
  <si>
    <t>Tiempo Desocupado Total Cajero (min)</t>
  </si>
  <si>
    <t>Tiempo Promedio de Espera (min)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</si>
</sst>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tabSelected="1" workbookViewId="0">
      <selection activeCell="C2" sqref="C2"/>
    </sheetView>
  </sheetViews>
  <sheetFormatPr baseColWidth="10" defaultColWidth="9.06640625" defaultRowHeight="14.25" x14ac:dyDescent="0.45"/>
  <cols>
    <col min="1" max="1" width="9" customWidth="1"/>
    <col min="2" max="2" width="18" customWidth="1"/>
    <col min="3" max="3" width="29" customWidth="1"/>
    <col min="4" max="4" width="19" customWidth="1"/>
    <col min="5" max="5" width="20" customWidth="1"/>
    <col min="6" max="6" width="26" customWidth="1"/>
    <col min="7" max="7" width="20" customWidth="1"/>
    <col min="8" max="8" width="17" customWidth="1"/>
    <col min="9" max="9" width="25" customWidth="1"/>
    <col min="10" max="10" width="24" customWidth="1"/>
    <col min="11" max="11" width="32" customWidth="1"/>
  </cols>
  <sheetData>
    <row r="1" spans="1:1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5">
      <c r="A2">
        <v>1</v>
      </c>
      <c r="B2" s="2">
        <f t="shared" ref="B2:B33" ca="1" si="0">RAND()</f>
        <v>0.74797030379707619</v>
      </c>
      <c r="C2" s="3">
        <f t="shared" ref="C2:C33" ca="1" si="1">ROUND(1 + (10-1)*B2, 0)</f>
        <v>8</v>
      </c>
      <c r="D2" s="3">
        <f ca="1">ROUND(C2, 0)</f>
        <v>8</v>
      </c>
      <c r="E2" s="2">
        <f t="shared" ref="E2:E33" ca="1" si="2">RAND()</f>
        <v>0.38058116984949431</v>
      </c>
      <c r="F2" s="3">
        <f t="shared" ref="F2:F33" ca="1" si="3">ROUND(1 + (6-1)*E2, 0)</f>
        <v>3</v>
      </c>
      <c r="G2" s="3">
        <f ca="1">ROUND(D2, 0)</f>
        <v>8</v>
      </c>
      <c r="H2" s="3">
        <f t="shared" ref="H2:H33" ca="1" si="4">ROUND(G2+F2, 0)</f>
        <v>11</v>
      </c>
      <c r="I2" s="3">
        <f t="shared" ref="I2:I33" ca="1" si="5">ROUND(H2-D2, 0)</f>
        <v>3</v>
      </c>
      <c r="J2" s="3">
        <f t="shared" ref="J2:J33" ca="1" si="6">ROUND(G2-D2, 0)</f>
        <v>0</v>
      </c>
      <c r="K2" s="3">
        <f ca="1">ROUND(D2, 0)</f>
        <v>8</v>
      </c>
    </row>
    <row r="3" spans="1:11" x14ac:dyDescent="0.45">
      <c r="A3">
        <v>2</v>
      </c>
      <c r="B3" s="2">
        <f t="shared" ca="1" si="0"/>
        <v>8.0773662207243024E-3</v>
      </c>
      <c r="C3" s="3">
        <f t="shared" ca="1" si="1"/>
        <v>1</v>
      </c>
      <c r="D3" s="3">
        <f t="shared" ref="D3:D34" ca="1" si="7">ROUND(D2+C3, 0)</f>
        <v>9</v>
      </c>
      <c r="E3" s="2">
        <f t="shared" ca="1" si="2"/>
        <v>0.68244383377434226</v>
      </c>
      <c r="F3" s="3">
        <f t="shared" ca="1" si="3"/>
        <v>4</v>
      </c>
      <c r="G3" s="3">
        <f t="shared" ref="G3:G34" ca="1" si="8">ROUND(MAX(D3, H2), 0)</f>
        <v>11</v>
      </c>
      <c r="H3" s="3">
        <f t="shared" ca="1" si="4"/>
        <v>15</v>
      </c>
      <c r="I3" s="3">
        <f t="shared" ca="1" si="5"/>
        <v>6</v>
      </c>
      <c r="J3" s="3">
        <f t="shared" ca="1" si="6"/>
        <v>2</v>
      </c>
      <c r="K3" s="3">
        <f t="shared" ref="K3:K34" ca="1" si="9">ROUND(MAX(0, G3-H2), 0)</f>
        <v>0</v>
      </c>
    </row>
    <row r="4" spans="1:11" x14ac:dyDescent="0.45">
      <c r="A4">
        <v>3</v>
      </c>
      <c r="B4" s="2">
        <f t="shared" ca="1" si="0"/>
        <v>0.2128204238963759</v>
      </c>
      <c r="C4" s="3">
        <f t="shared" ca="1" si="1"/>
        <v>3</v>
      </c>
      <c r="D4" s="3">
        <f t="shared" ca="1" si="7"/>
        <v>12</v>
      </c>
      <c r="E4" s="2">
        <f t="shared" ca="1" si="2"/>
        <v>0.18938376280308467</v>
      </c>
      <c r="F4" s="3">
        <f t="shared" ca="1" si="3"/>
        <v>2</v>
      </c>
      <c r="G4" s="3">
        <f t="shared" ca="1" si="8"/>
        <v>15</v>
      </c>
      <c r="H4" s="3">
        <f t="shared" ca="1" si="4"/>
        <v>17</v>
      </c>
      <c r="I4" s="3">
        <f t="shared" ca="1" si="5"/>
        <v>5</v>
      </c>
      <c r="J4" s="3">
        <f t="shared" ca="1" si="6"/>
        <v>3</v>
      </c>
      <c r="K4" s="3">
        <f t="shared" ca="1" si="9"/>
        <v>0</v>
      </c>
    </row>
    <row r="5" spans="1:11" x14ac:dyDescent="0.45">
      <c r="A5">
        <v>4</v>
      </c>
      <c r="B5" s="2">
        <f t="shared" ca="1" si="0"/>
        <v>7.6367506470916835E-2</v>
      </c>
      <c r="C5" s="3">
        <f t="shared" ca="1" si="1"/>
        <v>2</v>
      </c>
      <c r="D5" s="3">
        <f t="shared" ca="1" si="7"/>
        <v>14</v>
      </c>
      <c r="E5" s="2">
        <f t="shared" ca="1" si="2"/>
        <v>0.83944534912674507</v>
      </c>
      <c r="F5" s="3">
        <f t="shared" ca="1" si="3"/>
        <v>5</v>
      </c>
      <c r="G5" s="3">
        <f t="shared" ca="1" si="8"/>
        <v>17</v>
      </c>
      <c r="H5" s="3">
        <f t="shared" ca="1" si="4"/>
        <v>22</v>
      </c>
      <c r="I5" s="3">
        <f t="shared" ca="1" si="5"/>
        <v>8</v>
      </c>
      <c r="J5" s="3">
        <f t="shared" ca="1" si="6"/>
        <v>3</v>
      </c>
      <c r="K5" s="3">
        <f t="shared" ca="1" si="9"/>
        <v>0</v>
      </c>
    </row>
    <row r="6" spans="1:11" x14ac:dyDescent="0.45">
      <c r="A6">
        <v>5</v>
      </c>
      <c r="B6" s="2">
        <f t="shared" ca="1" si="0"/>
        <v>0.30651350705124525</v>
      </c>
      <c r="C6" s="3">
        <f t="shared" ca="1" si="1"/>
        <v>4</v>
      </c>
      <c r="D6" s="3">
        <f t="shared" ca="1" si="7"/>
        <v>18</v>
      </c>
      <c r="E6" s="2">
        <f t="shared" ca="1" si="2"/>
        <v>0.27844543875368988</v>
      </c>
      <c r="F6" s="3">
        <f t="shared" ca="1" si="3"/>
        <v>2</v>
      </c>
      <c r="G6" s="3">
        <f t="shared" ca="1" si="8"/>
        <v>22</v>
      </c>
      <c r="H6" s="3">
        <f t="shared" ca="1" si="4"/>
        <v>24</v>
      </c>
      <c r="I6" s="3">
        <f t="shared" ca="1" si="5"/>
        <v>6</v>
      </c>
      <c r="J6" s="3">
        <f t="shared" ca="1" si="6"/>
        <v>4</v>
      </c>
      <c r="K6" s="3">
        <f t="shared" ca="1" si="9"/>
        <v>0</v>
      </c>
    </row>
    <row r="7" spans="1:11" x14ac:dyDescent="0.45">
      <c r="A7">
        <v>6</v>
      </c>
      <c r="B7" s="2">
        <f t="shared" ca="1" si="0"/>
        <v>0.63263162311876442</v>
      </c>
      <c r="C7" s="3">
        <f t="shared" ca="1" si="1"/>
        <v>7</v>
      </c>
      <c r="D7" s="3">
        <f t="shared" ca="1" si="7"/>
        <v>25</v>
      </c>
      <c r="E7" s="2">
        <f t="shared" ca="1" si="2"/>
        <v>8.6175892708210466E-2</v>
      </c>
      <c r="F7" s="3">
        <f t="shared" ca="1" si="3"/>
        <v>1</v>
      </c>
      <c r="G7" s="3">
        <f t="shared" ca="1" si="8"/>
        <v>25</v>
      </c>
      <c r="H7" s="3">
        <f t="shared" ca="1" si="4"/>
        <v>26</v>
      </c>
      <c r="I7" s="3">
        <f t="shared" ca="1" si="5"/>
        <v>1</v>
      </c>
      <c r="J7" s="3">
        <f t="shared" ca="1" si="6"/>
        <v>0</v>
      </c>
      <c r="K7" s="3">
        <f t="shared" ca="1" si="9"/>
        <v>1</v>
      </c>
    </row>
    <row r="8" spans="1:11" x14ac:dyDescent="0.45">
      <c r="A8">
        <v>7</v>
      </c>
      <c r="B8" s="2">
        <f t="shared" ca="1" si="0"/>
        <v>0.5356448409611575</v>
      </c>
      <c r="C8" s="3">
        <f t="shared" ca="1" si="1"/>
        <v>6</v>
      </c>
      <c r="D8" s="3">
        <f t="shared" ca="1" si="7"/>
        <v>31</v>
      </c>
      <c r="E8" s="2">
        <f t="shared" ca="1" si="2"/>
        <v>0.26821900710138391</v>
      </c>
      <c r="F8" s="3">
        <f t="shared" ca="1" si="3"/>
        <v>2</v>
      </c>
      <c r="G8" s="3">
        <f t="shared" ca="1" si="8"/>
        <v>31</v>
      </c>
      <c r="H8" s="3">
        <f t="shared" ca="1" si="4"/>
        <v>33</v>
      </c>
      <c r="I8" s="3">
        <f t="shared" ca="1" si="5"/>
        <v>2</v>
      </c>
      <c r="J8" s="3">
        <f t="shared" ca="1" si="6"/>
        <v>0</v>
      </c>
      <c r="K8" s="3">
        <f t="shared" ca="1" si="9"/>
        <v>5</v>
      </c>
    </row>
    <row r="9" spans="1:11" x14ac:dyDescent="0.45">
      <c r="A9">
        <v>8</v>
      </c>
      <c r="B9" s="2">
        <f t="shared" ca="1" si="0"/>
        <v>0.14493231489958303</v>
      </c>
      <c r="C9" s="3">
        <f t="shared" ca="1" si="1"/>
        <v>2</v>
      </c>
      <c r="D9" s="3">
        <f t="shared" ca="1" si="7"/>
        <v>33</v>
      </c>
      <c r="E9" s="2">
        <f t="shared" ca="1" si="2"/>
        <v>0.35068747697742431</v>
      </c>
      <c r="F9" s="3">
        <f t="shared" ca="1" si="3"/>
        <v>3</v>
      </c>
      <c r="G9" s="3">
        <f t="shared" ca="1" si="8"/>
        <v>33</v>
      </c>
      <c r="H9" s="3">
        <f t="shared" ca="1" si="4"/>
        <v>36</v>
      </c>
      <c r="I9" s="3">
        <f t="shared" ca="1" si="5"/>
        <v>3</v>
      </c>
      <c r="J9" s="3">
        <f t="shared" ca="1" si="6"/>
        <v>0</v>
      </c>
      <c r="K9" s="3">
        <f t="shared" ca="1" si="9"/>
        <v>0</v>
      </c>
    </row>
    <row r="10" spans="1:11" x14ac:dyDescent="0.45">
      <c r="A10">
        <v>9</v>
      </c>
      <c r="B10" s="2">
        <f t="shared" ca="1" si="0"/>
        <v>0.67499309816078545</v>
      </c>
      <c r="C10" s="3">
        <f t="shared" ca="1" si="1"/>
        <v>7</v>
      </c>
      <c r="D10" s="3">
        <f t="shared" ca="1" si="7"/>
        <v>40</v>
      </c>
      <c r="E10" s="2">
        <f t="shared" ca="1" si="2"/>
        <v>8.1388134220573782E-2</v>
      </c>
      <c r="F10" s="3">
        <f t="shared" ca="1" si="3"/>
        <v>1</v>
      </c>
      <c r="G10" s="3">
        <f t="shared" ca="1" si="8"/>
        <v>40</v>
      </c>
      <c r="H10" s="3">
        <f t="shared" ca="1" si="4"/>
        <v>41</v>
      </c>
      <c r="I10" s="3">
        <f t="shared" ca="1" si="5"/>
        <v>1</v>
      </c>
      <c r="J10" s="3">
        <f t="shared" ca="1" si="6"/>
        <v>0</v>
      </c>
      <c r="K10" s="3">
        <f t="shared" ca="1" si="9"/>
        <v>4</v>
      </c>
    </row>
    <row r="11" spans="1:11" x14ac:dyDescent="0.45">
      <c r="A11">
        <v>10</v>
      </c>
      <c r="B11" s="2">
        <f t="shared" ca="1" si="0"/>
        <v>0.17762920795043913</v>
      </c>
      <c r="C11" s="3">
        <f t="shared" ca="1" si="1"/>
        <v>3</v>
      </c>
      <c r="D11" s="3">
        <f t="shared" ca="1" si="7"/>
        <v>43</v>
      </c>
      <c r="E11" s="2">
        <f t="shared" ca="1" si="2"/>
        <v>0.11771344680389217</v>
      </c>
      <c r="F11" s="3">
        <f t="shared" ca="1" si="3"/>
        <v>2</v>
      </c>
      <c r="G11" s="3">
        <f t="shared" ca="1" si="8"/>
        <v>43</v>
      </c>
      <c r="H11" s="3">
        <f t="shared" ca="1" si="4"/>
        <v>45</v>
      </c>
      <c r="I11" s="3">
        <f t="shared" ca="1" si="5"/>
        <v>2</v>
      </c>
      <c r="J11" s="3">
        <f t="shared" ca="1" si="6"/>
        <v>0</v>
      </c>
      <c r="K11" s="3">
        <f t="shared" ca="1" si="9"/>
        <v>2</v>
      </c>
    </row>
    <row r="12" spans="1:11" x14ac:dyDescent="0.45">
      <c r="A12">
        <v>11</v>
      </c>
      <c r="B12" s="2">
        <f t="shared" ca="1" si="0"/>
        <v>0.7725033743385602</v>
      </c>
      <c r="C12" s="3">
        <f t="shared" ca="1" si="1"/>
        <v>8</v>
      </c>
      <c r="D12" s="3">
        <f t="shared" ca="1" si="7"/>
        <v>51</v>
      </c>
      <c r="E12" s="2">
        <f t="shared" ca="1" si="2"/>
        <v>0.65886595702453665</v>
      </c>
      <c r="F12" s="3">
        <f t="shared" ca="1" si="3"/>
        <v>4</v>
      </c>
      <c r="G12" s="3">
        <f t="shared" ca="1" si="8"/>
        <v>51</v>
      </c>
      <c r="H12" s="3">
        <f t="shared" ca="1" si="4"/>
        <v>55</v>
      </c>
      <c r="I12" s="3">
        <f t="shared" ca="1" si="5"/>
        <v>4</v>
      </c>
      <c r="J12" s="3">
        <f t="shared" ca="1" si="6"/>
        <v>0</v>
      </c>
      <c r="K12" s="3">
        <f t="shared" ca="1" si="9"/>
        <v>6</v>
      </c>
    </row>
    <row r="13" spans="1:11" x14ac:dyDescent="0.45">
      <c r="A13">
        <v>12</v>
      </c>
      <c r="B13" s="2">
        <f t="shared" ca="1" si="0"/>
        <v>0.11834864350310781</v>
      </c>
      <c r="C13" s="3">
        <f t="shared" ca="1" si="1"/>
        <v>2</v>
      </c>
      <c r="D13" s="3">
        <f t="shared" ca="1" si="7"/>
        <v>53</v>
      </c>
      <c r="E13" s="2">
        <f t="shared" ca="1" si="2"/>
        <v>6.4110166500544685E-2</v>
      </c>
      <c r="F13" s="3">
        <f t="shared" ca="1" si="3"/>
        <v>1</v>
      </c>
      <c r="G13" s="3">
        <f t="shared" ca="1" si="8"/>
        <v>55</v>
      </c>
      <c r="H13" s="3">
        <f t="shared" ca="1" si="4"/>
        <v>56</v>
      </c>
      <c r="I13" s="3">
        <f t="shared" ca="1" si="5"/>
        <v>3</v>
      </c>
      <c r="J13" s="3">
        <f t="shared" ca="1" si="6"/>
        <v>2</v>
      </c>
      <c r="K13" s="3">
        <f t="shared" ca="1" si="9"/>
        <v>0</v>
      </c>
    </row>
    <row r="14" spans="1:11" x14ac:dyDescent="0.45">
      <c r="A14">
        <v>13</v>
      </c>
      <c r="B14" s="2">
        <f t="shared" ca="1" si="0"/>
        <v>0.33316252465273155</v>
      </c>
      <c r="C14" s="3">
        <f t="shared" ca="1" si="1"/>
        <v>4</v>
      </c>
      <c r="D14" s="3">
        <f t="shared" ca="1" si="7"/>
        <v>57</v>
      </c>
      <c r="E14" s="2">
        <f t="shared" ca="1" si="2"/>
        <v>0.93566489450525858</v>
      </c>
      <c r="F14" s="3">
        <f t="shared" ca="1" si="3"/>
        <v>6</v>
      </c>
      <c r="G14" s="3">
        <f t="shared" ca="1" si="8"/>
        <v>57</v>
      </c>
      <c r="H14" s="3">
        <f t="shared" ca="1" si="4"/>
        <v>63</v>
      </c>
      <c r="I14" s="3">
        <f t="shared" ca="1" si="5"/>
        <v>6</v>
      </c>
      <c r="J14" s="3">
        <f t="shared" ca="1" si="6"/>
        <v>0</v>
      </c>
      <c r="K14" s="3">
        <f t="shared" ca="1" si="9"/>
        <v>1</v>
      </c>
    </row>
    <row r="15" spans="1:11" x14ac:dyDescent="0.45">
      <c r="A15">
        <v>14</v>
      </c>
      <c r="B15" s="2">
        <f t="shared" ca="1" si="0"/>
        <v>0.9856518234997047</v>
      </c>
      <c r="C15" s="3">
        <f t="shared" ca="1" si="1"/>
        <v>10</v>
      </c>
      <c r="D15" s="3">
        <f t="shared" ca="1" si="7"/>
        <v>67</v>
      </c>
      <c r="E15" s="2">
        <f t="shared" ca="1" si="2"/>
        <v>0.31121517877213489</v>
      </c>
      <c r="F15" s="3">
        <f t="shared" ca="1" si="3"/>
        <v>3</v>
      </c>
      <c r="G15" s="3">
        <f t="shared" ca="1" si="8"/>
        <v>67</v>
      </c>
      <c r="H15" s="3">
        <f t="shared" ca="1" si="4"/>
        <v>70</v>
      </c>
      <c r="I15" s="3">
        <f t="shared" ca="1" si="5"/>
        <v>3</v>
      </c>
      <c r="J15" s="3">
        <f t="shared" ca="1" si="6"/>
        <v>0</v>
      </c>
      <c r="K15" s="3">
        <f t="shared" ca="1" si="9"/>
        <v>4</v>
      </c>
    </row>
    <row r="16" spans="1:11" x14ac:dyDescent="0.45">
      <c r="A16">
        <v>15</v>
      </c>
      <c r="B16" s="2">
        <f t="shared" ca="1" si="0"/>
        <v>0.66792215085815732</v>
      </c>
      <c r="C16" s="3">
        <f t="shared" ca="1" si="1"/>
        <v>7</v>
      </c>
      <c r="D16" s="3">
        <f t="shared" ca="1" si="7"/>
        <v>74</v>
      </c>
      <c r="E16" s="2">
        <f t="shared" ca="1" si="2"/>
        <v>0.77101403680640201</v>
      </c>
      <c r="F16" s="3">
        <f t="shared" ca="1" si="3"/>
        <v>5</v>
      </c>
      <c r="G16" s="3">
        <f t="shared" ca="1" si="8"/>
        <v>74</v>
      </c>
      <c r="H16" s="3">
        <f t="shared" ca="1" si="4"/>
        <v>79</v>
      </c>
      <c r="I16" s="3">
        <f t="shared" ca="1" si="5"/>
        <v>5</v>
      </c>
      <c r="J16" s="3">
        <f t="shared" ca="1" si="6"/>
        <v>0</v>
      </c>
      <c r="K16" s="3">
        <f t="shared" ca="1" si="9"/>
        <v>4</v>
      </c>
    </row>
    <row r="17" spans="1:11" x14ac:dyDescent="0.45">
      <c r="A17">
        <v>16</v>
      </c>
      <c r="B17" s="2">
        <f t="shared" ca="1" si="0"/>
        <v>0.97153333764749839</v>
      </c>
      <c r="C17" s="3">
        <f t="shared" ca="1" si="1"/>
        <v>10</v>
      </c>
      <c r="D17" s="3">
        <f t="shared" ca="1" si="7"/>
        <v>84</v>
      </c>
      <c r="E17" s="2">
        <f t="shared" ca="1" si="2"/>
        <v>0.8061450867387151</v>
      </c>
      <c r="F17" s="3">
        <f t="shared" ca="1" si="3"/>
        <v>5</v>
      </c>
      <c r="G17" s="3">
        <f t="shared" ca="1" si="8"/>
        <v>84</v>
      </c>
      <c r="H17" s="3">
        <f t="shared" ca="1" si="4"/>
        <v>89</v>
      </c>
      <c r="I17" s="3">
        <f t="shared" ca="1" si="5"/>
        <v>5</v>
      </c>
      <c r="J17" s="3">
        <f t="shared" ca="1" si="6"/>
        <v>0</v>
      </c>
      <c r="K17" s="3">
        <f t="shared" ca="1" si="9"/>
        <v>5</v>
      </c>
    </row>
    <row r="18" spans="1:11" x14ac:dyDescent="0.45">
      <c r="A18">
        <v>17</v>
      </c>
      <c r="B18" s="2">
        <f t="shared" ca="1" si="0"/>
        <v>0.80001916230069758</v>
      </c>
      <c r="C18" s="3">
        <f t="shared" ca="1" si="1"/>
        <v>8</v>
      </c>
      <c r="D18" s="3">
        <f t="shared" ca="1" si="7"/>
        <v>92</v>
      </c>
      <c r="E18" s="2">
        <f t="shared" ca="1" si="2"/>
        <v>0.46300928377278383</v>
      </c>
      <c r="F18" s="3">
        <f t="shared" ca="1" si="3"/>
        <v>3</v>
      </c>
      <c r="G18" s="3">
        <f t="shared" ca="1" si="8"/>
        <v>92</v>
      </c>
      <c r="H18" s="3">
        <f t="shared" ca="1" si="4"/>
        <v>95</v>
      </c>
      <c r="I18" s="3">
        <f t="shared" ca="1" si="5"/>
        <v>3</v>
      </c>
      <c r="J18" s="3">
        <f t="shared" ca="1" si="6"/>
        <v>0</v>
      </c>
      <c r="K18" s="3">
        <f t="shared" ca="1" si="9"/>
        <v>3</v>
      </c>
    </row>
    <row r="19" spans="1:11" x14ac:dyDescent="0.45">
      <c r="A19">
        <v>18</v>
      </c>
      <c r="B19" s="2">
        <f t="shared" ca="1" si="0"/>
        <v>0.81995312155503053</v>
      </c>
      <c r="C19" s="3">
        <f t="shared" ca="1" si="1"/>
        <v>8</v>
      </c>
      <c r="D19" s="3">
        <f t="shared" ca="1" si="7"/>
        <v>100</v>
      </c>
      <c r="E19" s="2">
        <f t="shared" ca="1" si="2"/>
        <v>0.78080379071867889</v>
      </c>
      <c r="F19" s="3">
        <f t="shared" ca="1" si="3"/>
        <v>5</v>
      </c>
      <c r="G19" s="3">
        <f t="shared" ca="1" si="8"/>
        <v>100</v>
      </c>
      <c r="H19" s="3">
        <f t="shared" ca="1" si="4"/>
        <v>105</v>
      </c>
      <c r="I19" s="3">
        <f t="shared" ca="1" si="5"/>
        <v>5</v>
      </c>
      <c r="J19" s="3">
        <f t="shared" ca="1" si="6"/>
        <v>0</v>
      </c>
      <c r="K19" s="3">
        <f t="shared" ca="1" si="9"/>
        <v>5</v>
      </c>
    </row>
    <row r="20" spans="1:11" x14ac:dyDescent="0.45">
      <c r="A20">
        <v>19</v>
      </c>
      <c r="B20" s="2">
        <f t="shared" ca="1" si="0"/>
        <v>0.30393957214580269</v>
      </c>
      <c r="C20" s="3">
        <f t="shared" ca="1" si="1"/>
        <v>4</v>
      </c>
      <c r="D20" s="3">
        <f t="shared" ca="1" si="7"/>
        <v>104</v>
      </c>
      <c r="E20" s="2">
        <f t="shared" ca="1" si="2"/>
        <v>0.6537388953324903</v>
      </c>
      <c r="F20" s="3">
        <f t="shared" ca="1" si="3"/>
        <v>4</v>
      </c>
      <c r="G20" s="3">
        <f t="shared" ca="1" si="8"/>
        <v>105</v>
      </c>
      <c r="H20" s="3">
        <f t="shared" ca="1" si="4"/>
        <v>109</v>
      </c>
      <c r="I20" s="3">
        <f t="shared" ca="1" si="5"/>
        <v>5</v>
      </c>
      <c r="J20" s="3">
        <f t="shared" ca="1" si="6"/>
        <v>1</v>
      </c>
      <c r="K20" s="3">
        <f t="shared" ca="1" si="9"/>
        <v>0</v>
      </c>
    </row>
    <row r="21" spans="1:11" x14ac:dyDescent="0.45">
      <c r="A21">
        <v>20</v>
      </c>
      <c r="B21" s="2">
        <f t="shared" ca="1" si="0"/>
        <v>2.5402445514274175E-2</v>
      </c>
      <c r="C21" s="3">
        <f t="shared" ca="1" si="1"/>
        <v>1</v>
      </c>
      <c r="D21" s="3">
        <f t="shared" ca="1" si="7"/>
        <v>105</v>
      </c>
      <c r="E21" s="2">
        <f t="shared" ca="1" si="2"/>
        <v>0.62281876864835217</v>
      </c>
      <c r="F21" s="3">
        <f t="shared" ca="1" si="3"/>
        <v>4</v>
      </c>
      <c r="G21" s="3">
        <f t="shared" ca="1" si="8"/>
        <v>109</v>
      </c>
      <c r="H21" s="3">
        <f t="shared" ca="1" si="4"/>
        <v>113</v>
      </c>
      <c r="I21" s="3">
        <f t="shared" ca="1" si="5"/>
        <v>8</v>
      </c>
      <c r="J21" s="3">
        <f t="shared" ca="1" si="6"/>
        <v>4</v>
      </c>
      <c r="K21" s="3">
        <f t="shared" ca="1" si="9"/>
        <v>0</v>
      </c>
    </row>
    <row r="22" spans="1:11" x14ac:dyDescent="0.45">
      <c r="A22">
        <v>21</v>
      </c>
      <c r="B22" s="2">
        <f t="shared" ca="1" si="0"/>
        <v>0.83940251087182383</v>
      </c>
      <c r="C22" s="3">
        <f t="shared" ca="1" si="1"/>
        <v>9</v>
      </c>
      <c r="D22" s="3">
        <f t="shared" ca="1" si="7"/>
        <v>114</v>
      </c>
      <c r="E22" s="2">
        <f t="shared" ca="1" si="2"/>
        <v>0.58069704076764384</v>
      </c>
      <c r="F22" s="3">
        <f t="shared" ca="1" si="3"/>
        <v>4</v>
      </c>
      <c r="G22" s="3">
        <f t="shared" ca="1" si="8"/>
        <v>114</v>
      </c>
      <c r="H22" s="3">
        <f t="shared" ca="1" si="4"/>
        <v>118</v>
      </c>
      <c r="I22" s="3">
        <f t="shared" ca="1" si="5"/>
        <v>4</v>
      </c>
      <c r="J22" s="3">
        <f t="shared" ca="1" si="6"/>
        <v>0</v>
      </c>
      <c r="K22" s="3">
        <f t="shared" ca="1" si="9"/>
        <v>1</v>
      </c>
    </row>
    <row r="23" spans="1:11" x14ac:dyDescent="0.45">
      <c r="A23">
        <v>22</v>
      </c>
      <c r="B23" s="2">
        <f t="shared" ca="1" si="0"/>
        <v>0.83394796889235079</v>
      </c>
      <c r="C23" s="3">
        <f t="shared" ca="1" si="1"/>
        <v>9</v>
      </c>
      <c r="D23" s="3">
        <f t="shared" ca="1" si="7"/>
        <v>123</v>
      </c>
      <c r="E23" s="2">
        <f t="shared" ca="1" si="2"/>
        <v>0.41343737635595135</v>
      </c>
      <c r="F23" s="3">
        <f t="shared" ca="1" si="3"/>
        <v>3</v>
      </c>
      <c r="G23" s="3">
        <f t="shared" ca="1" si="8"/>
        <v>123</v>
      </c>
      <c r="H23" s="3">
        <f t="shared" ca="1" si="4"/>
        <v>126</v>
      </c>
      <c r="I23" s="3">
        <f t="shared" ca="1" si="5"/>
        <v>3</v>
      </c>
      <c r="J23" s="3">
        <f t="shared" ca="1" si="6"/>
        <v>0</v>
      </c>
      <c r="K23" s="3">
        <f t="shared" ca="1" si="9"/>
        <v>5</v>
      </c>
    </row>
    <row r="24" spans="1:11" x14ac:dyDescent="0.45">
      <c r="A24">
        <v>23</v>
      </c>
      <c r="B24" s="2">
        <f t="shared" ca="1" si="0"/>
        <v>0.50272646819090516</v>
      </c>
      <c r="C24" s="3">
        <f t="shared" ca="1" si="1"/>
        <v>6</v>
      </c>
      <c r="D24" s="3">
        <f t="shared" ca="1" si="7"/>
        <v>129</v>
      </c>
      <c r="E24" s="2">
        <f t="shared" ca="1" si="2"/>
        <v>0.66794290286445734</v>
      </c>
      <c r="F24" s="3">
        <f t="shared" ca="1" si="3"/>
        <v>4</v>
      </c>
      <c r="G24" s="3">
        <f t="shared" ca="1" si="8"/>
        <v>129</v>
      </c>
      <c r="H24" s="3">
        <f t="shared" ca="1" si="4"/>
        <v>133</v>
      </c>
      <c r="I24" s="3">
        <f t="shared" ca="1" si="5"/>
        <v>4</v>
      </c>
      <c r="J24" s="3">
        <f t="shared" ca="1" si="6"/>
        <v>0</v>
      </c>
      <c r="K24" s="3">
        <f t="shared" ca="1" si="9"/>
        <v>3</v>
      </c>
    </row>
    <row r="25" spans="1:11" x14ac:dyDescent="0.45">
      <c r="A25">
        <v>24</v>
      </c>
      <c r="B25" s="2">
        <f t="shared" ca="1" si="0"/>
        <v>0.11857695944198554</v>
      </c>
      <c r="C25" s="3">
        <f t="shared" ca="1" si="1"/>
        <v>2</v>
      </c>
      <c r="D25" s="3">
        <f t="shared" ca="1" si="7"/>
        <v>131</v>
      </c>
      <c r="E25" s="2">
        <f t="shared" ca="1" si="2"/>
        <v>0.24925949141348136</v>
      </c>
      <c r="F25" s="3">
        <f t="shared" ca="1" si="3"/>
        <v>2</v>
      </c>
      <c r="G25" s="3">
        <f t="shared" ca="1" si="8"/>
        <v>133</v>
      </c>
      <c r="H25" s="3">
        <f t="shared" ca="1" si="4"/>
        <v>135</v>
      </c>
      <c r="I25" s="3">
        <f t="shared" ca="1" si="5"/>
        <v>4</v>
      </c>
      <c r="J25" s="3">
        <f t="shared" ca="1" si="6"/>
        <v>2</v>
      </c>
      <c r="K25" s="3">
        <f t="shared" ca="1" si="9"/>
        <v>0</v>
      </c>
    </row>
    <row r="26" spans="1:11" x14ac:dyDescent="0.45">
      <c r="A26">
        <v>25</v>
      </c>
      <c r="B26" s="2">
        <f t="shared" ca="1" si="0"/>
        <v>1.1580736296084582E-2</v>
      </c>
      <c r="C26" s="3">
        <f t="shared" ca="1" si="1"/>
        <v>1</v>
      </c>
      <c r="D26" s="3">
        <f t="shared" ca="1" si="7"/>
        <v>132</v>
      </c>
      <c r="E26" s="2">
        <f t="shared" ca="1" si="2"/>
        <v>0.8016720244382548</v>
      </c>
      <c r="F26" s="3">
        <f t="shared" ca="1" si="3"/>
        <v>5</v>
      </c>
      <c r="G26" s="3">
        <f t="shared" ca="1" si="8"/>
        <v>135</v>
      </c>
      <c r="H26" s="3">
        <f t="shared" ca="1" si="4"/>
        <v>140</v>
      </c>
      <c r="I26" s="3">
        <f t="shared" ca="1" si="5"/>
        <v>8</v>
      </c>
      <c r="J26" s="3">
        <f t="shared" ca="1" si="6"/>
        <v>3</v>
      </c>
      <c r="K26" s="3">
        <f t="shared" ca="1" si="9"/>
        <v>0</v>
      </c>
    </row>
    <row r="27" spans="1:11" x14ac:dyDescent="0.45">
      <c r="A27">
        <v>26</v>
      </c>
      <c r="B27" s="2">
        <f t="shared" ca="1" si="0"/>
        <v>7.077444285764567E-2</v>
      </c>
      <c r="C27" s="3">
        <f t="shared" ca="1" si="1"/>
        <v>2</v>
      </c>
      <c r="D27" s="3">
        <f t="shared" ca="1" si="7"/>
        <v>134</v>
      </c>
      <c r="E27" s="2">
        <f t="shared" ca="1" si="2"/>
        <v>0.31295452633985199</v>
      </c>
      <c r="F27" s="3">
        <f t="shared" ca="1" si="3"/>
        <v>3</v>
      </c>
      <c r="G27" s="3">
        <f t="shared" ca="1" si="8"/>
        <v>140</v>
      </c>
      <c r="H27" s="3">
        <f t="shared" ca="1" si="4"/>
        <v>143</v>
      </c>
      <c r="I27" s="3">
        <f t="shared" ca="1" si="5"/>
        <v>9</v>
      </c>
      <c r="J27" s="3">
        <f t="shared" ca="1" si="6"/>
        <v>6</v>
      </c>
      <c r="K27" s="3">
        <f t="shared" ca="1" si="9"/>
        <v>0</v>
      </c>
    </row>
    <row r="28" spans="1:11" x14ac:dyDescent="0.45">
      <c r="A28">
        <v>27</v>
      </c>
      <c r="B28" s="2">
        <f t="shared" ca="1" si="0"/>
        <v>0.33985287290052257</v>
      </c>
      <c r="C28" s="3">
        <f t="shared" ca="1" si="1"/>
        <v>4</v>
      </c>
      <c r="D28" s="3">
        <f t="shared" ca="1" si="7"/>
        <v>138</v>
      </c>
      <c r="E28" s="2">
        <f t="shared" ca="1" si="2"/>
        <v>0.26855946355581484</v>
      </c>
      <c r="F28" s="3">
        <f t="shared" ca="1" si="3"/>
        <v>2</v>
      </c>
      <c r="G28" s="3">
        <f t="shared" ca="1" si="8"/>
        <v>143</v>
      </c>
      <c r="H28" s="3">
        <f t="shared" ca="1" si="4"/>
        <v>145</v>
      </c>
      <c r="I28" s="3">
        <f t="shared" ca="1" si="5"/>
        <v>7</v>
      </c>
      <c r="J28" s="3">
        <f t="shared" ca="1" si="6"/>
        <v>5</v>
      </c>
      <c r="K28" s="3">
        <f t="shared" ca="1" si="9"/>
        <v>0</v>
      </c>
    </row>
    <row r="29" spans="1:11" x14ac:dyDescent="0.45">
      <c r="A29">
        <v>28</v>
      </c>
      <c r="B29" s="2">
        <f t="shared" ca="1" si="0"/>
        <v>0.64301124281919808</v>
      </c>
      <c r="C29" s="3">
        <f t="shared" ca="1" si="1"/>
        <v>7</v>
      </c>
      <c r="D29" s="3">
        <f t="shared" ca="1" si="7"/>
        <v>145</v>
      </c>
      <c r="E29" s="2">
        <f t="shared" ca="1" si="2"/>
        <v>0.78549400572311423</v>
      </c>
      <c r="F29" s="3">
        <f t="shared" ca="1" si="3"/>
        <v>5</v>
      </c>
      <c r="G29" s="3">
        <f t="shared" ca="1" si="8"/>
        <v>145</v>
      </c>
      <c r="H29" s="3">
        <f t="shared" ca="1" si="4"/>
        <v>150</v>
      </c>
      <c r="I29" s="3">
        <f t="shared" ca="1" si="5"/>
        <v>5</v>
      </c>
      <c r="J29" s="3">
        <f t="shared" ca="1" si="6"/>
        <v>0</v>
      </c>
      <c r="K29" s="3">
        <f t="shared" ca="1" si="9"/>
        <v>0</v>
      </c>
    </row>
    <row r="30" spans="1:11" x14ac:dyDescent="0.45">
      <c r="A30">
        <v>29</v>
      </c>
      <c r="B30" s="2">
        <f t="shared" ca="1" si="0"/>
        <v>0.86347369577724886</v>
      </c>
      <c r="C30" s="3">
        <f t="shared" ca="1" si="1"/>
        <v>9</v>
      </c>
      <c r="D30" s="3">
        <f t="shared" ca="1" si="7"/>
        <v>154</v>
      </c>
      <c r="E30" s="2">
        <f t="shared" ca="1" si="2"/>
        <v>0.4376465005890473</v>
      </c>
      <c r="F30" s="3">
        <f t="shared" ca="1" si="3"/>
        <v>3</v>
      </c>
      <c r="G30" s="3">
        <f t="shared" ca="1" si="8"/>
        <v>154</v>
      </c>
      <c r="H30" s="3">
        <f t="shared" ca="1" si="4"/>
        <v>157</v>
      </c>
      <c r="I30" s="3">
        <f t="shared" ca="1" si="5"/>
        <v>3</v>
      </c>
      <c r="J30" s="3">
        <f t="shared" ca="1" si="6"/>
        <v>0</v>
      </c>
      <c r="K30" s="3">
        <f t="shared" ca="1" si="9"/>
        <v>4</v>
      </c>
    </row>
    <row r="31" spans="1:11" x14ac:dyDescent="0.45">
      <c r="A31">
        <v>30</v>
      </c>
      <c r="B31" s="2">
        <f t="shared" ca="1" si="0"/>
        <v>0.12474789152634158</v>
      </c>
      <c r="C31" s="3">
        <f t="shared" ca="1" si="1"/>
        <v>2</v>
      </c>
      <c r="D31" s="3">
        <f t="shared" ca="1" si="7"/>
        <v>156</v>
      </c>
      <c r="E31" s="2">
        <f t="shared" ca="1" si="2"/>
        <v>0.46274343544509378</v>
      </c>
      <c r="F31" s="3">
        <f t="shared" ca="1" si="3"/>
        <v>3</v>
      </c>
      <c r="G31" s="3">
        <f t="shared" ca="1" si="8"/>
        <v>157</v>
      </c>
      <c r="H31" s="3">
        <f t="shared" ca="1" si="4"/>
        <v>160</v>
      </c>
      <c r="I31" s="3">
        <f t="shared" ca="1" si="5"/>
        <v>4</v>
      </c>
      <c r="J31" s="3">
        <f t="shared" ca="1" si="6"/>
        <v>1</v>
      </c>
      <c r="K31" s="3">
        <f t="shared" ca="1" si="9"/>
        <v>0</v>
      </c>
    </row>
    <row r="32" spans="1:11" x14ac:dyDescent="0.45">
      <c r="A32">
        <v>31</v>
      </c>
      <c r="B32" s="2">
        <f t="shared" ca="1" si="0"/>
        <v>0.93346035198978172</v>
      </c>
      <c r="C32" s="3">
        <f t="shared" ca="1" si="1"/>
        <v>9</v>
      </c>
      <c r="D32" s="3">
        <f t="shared" ca="1" si="7"/>
        <v>165</v>
      </c>
      <c r="E32" s="2">
        <f t="shared" ca="1" si="2"/>
        <v>0.32251066283701735</v>
      </c>
      <c r="F32" s="3">
        <f t="shared" ca="1" si="3"/>
        <v>3</v>
      </c>
      <c r="G32" s="3">
        <f t="shared" ca="1" si="8"/>
        <v>165</v>
      </c>
      <c r="H32" s="3">
        <f t="shared" ca="1" si="4"/>
        <v>168</v>
      </c>
      <c r="I32" s="3">
        <f t="shared" ca="1" si="5"/>
        <v>3</v>
      </c>
      <c r="J32" s="3">
        <f t="shared" ca="1" si="6"/>
        <v>0</v>
      </c>
      <c r="K32" s="3">
        <f t="shared" ca="1" si="9"/>
        <v>5</v>
      </c>
    </row>
    <row r="33" spans="1:11" x14ac:dyDescent="0.45">
      <c r="A33">
        <v>32</v>
      </c>
      <c r="B33" s="2">
        <f t="shared" ca="1" si="0"/>
        <v>0.62368612459378614</v>
      </c>
      <c r="C33" s="3">
        <f t="shared" ca="1" si="1"/>
        <v>7</v>
      </c>
      <c r="D33" s="3">
        <f t="shared" ca="1" si="7"/>
        <v>172</v>
      </c>
      <c r="E33" s="2">
        <f t="shared" ca="1" si="2"/>
        <v>0.3551678081275832</v>
      </c>
      <c r="F33" s="3">
        <f t="shared" ca="1" si="3"/>
        <v>3</v>
      </c>
      <c r="G33" s="3">
        <f t="shared" ca="1" si="8"/>
        <v>172</v>
      </c>
      <c r="H33" s="3">
        <f t="shared" ca="1" si="4"/>
        <v>175</v>
      </c>
      <c r="I33" s="3">
        <f t="shared" ca="1" si="5"/>
        <v>3</v>
      </c>
      <c r="J33" s="3">
        <f t="shared" ca="1" si="6"/>
        <v>0</v>
      </c>
      <c r="K33" s="3">
        <f t="shared" ca="1" si="9"/>
        <v>4</v>
      </c>
    </row>
    <row r="34" spans="1:11" x14ac:dyDescent="0.45">
      <c r="A34">
        <v>33</v>
      </c>
      <c r="B34" s="2">
        <f t="shared" ref="B34:B51" ca="1" si="10">RAND()</f>
        <v>0.50242832228959566</v>
      </c>
      <c r="C34" s="3">
        <f t="shared" ref="C34:C65" ca="1" si="11">ROUND(1 + (10-1)*B34, 0)</f>
        <v>6</v>
      </c>
      <c r="D34" s="3">
        <f t="shared" ca="1" si="7"/>
        <v>178</v>
      </c>
      <c r="E34" s="2">
        <f t="shared" ref="E34:E51" ca="1" si="12">RAND()</f>
        <v>0.59753536164130094</v>
      </c>
      <c r="F34" s="3">
        <f t="shared" ref="F34:F65" ca="1" si="13">ROUND(1 + (6-1)*E34, 0)</f>
        <v>4</v>
      </c>
      <c r="G34" s="3">
        <f t="shared" ca="1" si="8"/>
        <v>178</v>
      </c>
      <c r="H34" s="3">
        <f t="shared" ref="H34:H65" ca="1" si="14">ROUND(G34+F34, 0)</f>
        <v>182</v>
      </c>
      <c r="I34" s="3">
        <f t="shared" ref="I34:I65" ca="1" si="15">ROUND(H34-D34, 0)</f>
        <v>4</v>
      </c>
      <c r="J34" s="3">
        <f t="shared" ref="J34:J51" ca="1" si="16">ROUND(G34-D34, 0)</f>
        <v>0</v>
      </c>
      <c r="K34" s="3">
        <f t="shared" ca="1" si="9"/>
        <v>3</v>
      </c>
    </row>
    <row r="35" spans="1:11" x14ac:dyDescent="0.45">
      <c r="A35">
        <v>34</v>
      </c>
      <c r="B35" s="2">
        <f t="shared" ca="1" si="10"/>
        <v>0.66930951086786983</v>
      </c>
      <c r="C35" s="3">
        <f t="shared" ca="1" si="11"/>
        <v>7</v>
      </c>
      <c r="D35" s="3">
        <f t="shared" ref="D35:D66" ca="1" si="17">ROUND(D34+C35, 0)</f>
        <v>185</v>
      </c>
      <c r="E35" s="2">
        <f t="shared" ca="1" si="12"/>
        <v>0.52409211952884838</v>
      </c>
      <c r="F35" s="3">
        <f t="shared" ca="1" si="13"/>
        <v>4</v>
      </c>
      <c r="G35" s="3">
        <f t="shared" ref="G35:G51" ca="1" si="18">ROUND(MAX(D35, H34), 0)</f>
        <v>185</v>
      </c>
      <c r="H35" s="3">
        <f t="shared" ca="1" si="14"/>
        <v>189</v>
      </c>
      <c r="I35" s="3">
        <f t="shared" ca="1" si="15"/>
        <v>4</v>
      </c>
      <c r="J35" s="3">
        <f t="shared" ca="1" si="16"/>
        <v>0</v>
      </c>
      <c r="K35" s="3">
        <f t="shared" ref="K35:K51" ca="1" si="19">ROUND(MAX(0, G35-H34), 0)</f>
        <v>3</v>
      </c>
    </row>
    <row r="36" spans="1:11" x14ac:dyDescent="0.45">
      <c r="A36">
        <v>35</v>
      </c>
      <c r="B36" s="2">
        <f t="shared" ca="1" si="10"/>
        <v>0.96200906418261756</v>
      </c>
      <c r="C36" s="3">
        <f t="shared" ca="1" si="11"/>
        <v>10</v>
      </c>
      <c r="D36" s="3">
        <f t="shared" ca="1" si="17"/>
        <v>195</v>
      </c>
      <c r="E36" s="2">
        <f t="shared" ca="1" si="12"/>
        <v>0.45204746565042198</v>
      </c>
      <c r="F36" s="3">
        <f t="shared" ca="1" si="13"/>
        <v>3</v>
      </c>
      <c r="G36" s="3">
        <f t="shared" ca="1" si="18"/>
        <v>195</v>
      </c>
      <c r="H36" s="3">
        <f t="shared" ca="1" si="14"/>
        <v>198</v>
      </c>
      <c r="I36" s="3">
        <f t="shared" ca="1" si="15"/>
        <v>3</v>
      </c>
      <c r="J36" s="3">
        <f t="shared" ca="1" si="16"/>
        <v>0</v>
      </c>
      <c r="K36" s="3">
        <f t="shared" ca="1" si="19"/>
        <v>6</v>
      </c>
    </row>
    <row r="37" spans="1:11" x14ac:dyDescent="0.45">
      <c r="A37">
        <v>36</v>
      </c>
      <c r="B37" s="2">
        <f t="shared" ca="1" si="10"/>
        <v>0.39686501093210891</v>
      </c>
      <c r="C37" s="3">
        <f t="shared" ca="1" si="11"/>
        <v>5</v>
      </c>
      <c r="D37" s="3">
        <f t="shared" ca="1" si="17"/>
        <v>200</v>
      </c>
      <c r="E37" s="2">
        <f t="shared" ca="1" si="12"/>
        <v>0.31910750381109609</v>
      </c>
      <c r="F37" s="3">
        <f t="shared" ca="1" si="13"/>
        <v>3</v>
      </c>
      <c r="G37" s="3">
        <f t="shared" ca="1" si="18"/>
        <v>200</v>
      </c>
      <c r="H37" s="3">
        <f t="shared" ca="1" si="14"/>
        <v>203</v>
      </c>
      <c r="I37" s="3">
        <f t="shared" ca="1" si="15"/>
        <v>3</v>
      </c>
      <c r="J37" s="3">
        <f t="shared" ca="1" si="16"/>
        <v>0</v>
      </c>
      <c r="K37" s="3">
        <f t="shared" ca="1" si="19"/>
        <v>2</v>
      </c>
    </row>
    <row r="38" spans="1:11" x14ac:dyDescent="0.45">
      <c r="A38">
        <v>37</v>
      </c>
      <c r="B38" s="2">
        <f t="shared" ca="1" si="10"/>
        <v>0.69467231716494116</v>
      </c>
      <c r="C38" s="3">
        <f t="shared" ca="1" si="11"/>
        <v>7</v>
      </c>
      <c r="D38" s="3">
        <f t="shared" ca="1" si="17"/>
        <v>207</v>
      </c>
      <c r="E38" s="2">
        <f t="shared" ca="1" si="12"/>
        <v>7.9627642609502503E-2</v>
      </c>
      <c r="F38" s="3">
        <f t="shared" ca="1" si="13"/>
        <v>1</v>
      </c>
      <c r="G38" s="3">
        <f t="shared" ca="1" si="18"/>
        <v>207</v>
      </c>
      <c r="H38" s="3">
        <f t="shared" ca="1" si="14"/>
        <v>208</v>
      </c>
      <c r="I38" s="3">
        <f t="shared" ca="1" si="15"/>
        <v>1</v>
      </c>
      <c r="J38" s="3">
        <f t="shared" ca="1" si="16"/>
        <v>0</v>
      </c>
      <c r="K38" s="3">
        <f t="shared" ca="1" si="19"/>
        <v>4</v>
      </c>
    </row>
    <row r="39" spans="1:11" x14ac:dyDescent="0.45">
      <c r="A39">
        <v>38</v>
      </c>
      <c r="B39" s="2">
        <f t="shared" ca="1" si="10"/>
        <v>0.32121782711024793</v>
      </c>
      <c r="C39" s="3">
        <f t="shared" ca="1" si="11"/>
        <v>4</v>
      </c>
      <c r="D39" s="3">
        <f t="shared" ca="1" si="17"/>
        <v>211</v>
      </c>
      <c r="E39" s="2">
        <f t="shared" ca="1" si="12"/>
        <v>0.80611200420813733</v>
      </c>
      <c r="F39" s="3">
        <f t="shared" ca="1" si="13"/>
        <v>5</v>
      </c>
      <c r="G39" s="3">
        <f t="shared" ca="1" si="18"/>
        <v>211</v>
      </c>
      <c r="H39" s="3">
        <f t="shared" ca="1" si="14"/>
        <v>216</v>
      </c>
      <c r="I39" s="3">
        <f t="shared" ca="1" si="15"/>
        <v>5</v>
      </c>
      <c r="J39" s="3">
        <f t="shared" ca="1" si="16"/>
        <v>0</v>
      </c>
      <c r="K39" s="3">
        <f t="shared" ca="1" si="19"/>
        <v>3</v>
      </c>
    </row>
    <row r="40" spans="1:11" x14ac:dyDescent="0.45">
      <c r="A40">
        <v>39</v>
      </c>
      <c r="B40" s="2">
        <f t="shared" ca="1" si="10"/>
        <v>0.5439806786791177</v>
      </c>
      <c r="C40" s="3">
        <f t="shared" ca="1" si="11"/>
        <v>6</v>
      </c>
      <c r="D40" s="3">
        <f t="shared" ca="1" si="17"/>
        <v>217</v>
      </c>
      <c r="E40" s="2">
        <f t="shared" ca="1" si="12"/>
        <v>0.4300849543504851</v>
      </c>
      <c r="F40" s="3">
        <f t="shared" ca="1" si="13"/>
        <v>3</v>
      </c>
      <c r="G40" s="3">
        <f t="shared" ca="1" si="18"/>
        <v>217</v>
      </c>
      <c r="H40" s="3">
        <f t="shared" ca="1" si="14"/>
        <v>220</v>
      </c>
      <c r="I40" s="3">
        <f t="shared" ca="1" si="15"/>
        <v>3</v>
      </c>
      <c r="J40" s="3">
        <f t="shared" ca="1" si="16"/>
        <v>0</v>
      </c>
      <c r="K40" s="3">
        <f t="shared" ca="1" si="19"/>
        <v>1</v>
      </c>
    </row>
    <row r="41" spans="1:11" x14ac:dyDescent="0.45">
      <c r="A41">
        <v>40</v>
      </c>
      <c r="B41" s="2">
        <f t="shared" ca="1" si="10"/>
        <v>0.18773501644388935</v>
      </c>
      <c r="C41" s="3">
        <f t="shared" ca="1" si="11"/>
        <v>3</v>
      </c>
      <c r="D41" s="3">
        <f t="shared" ca="1" si="17"/>
        <v>220</v>
      </c>
      <c r="E41" s="2">
        <f t="shared" ca="1" si="12"/>
        <v>0.78812644534402831</v>
      </c>
      <c r="F41" s="3">
        <f t="shared" ca="1" si="13"/>
        <v>5</v>
      </c>
      <c r="G41" s="3">
        <f t="shared" ca="1" si="18"/>
        <v>220</v>
      </c>
      <c r="H41" s="3">
        <f t="shared" ca="1" si="14"/>
        <v>225</v>
      </c>
      <c r="I41" s="3">
        <f t="shared" ca="1" si="15"/>
        <v>5</v>
      </c>
      <c r="J41" s="3">
        <f t="shared" ca="1" si="16"/>
        <v>0</v>
      </c>
      <c r="K41" s="3">
        <f t="shared" ca="1" si="19"/>
        <v>0</v>
      </c>
    </row>
    <row r="42" spans="1:11" x14ac:dyDescent="0.45">
      <c r="A42">
        <v>41</v>
      </c>
      <c r="B42" s="2">
        <f t="shared" ca="1" si="10"/>
        <v>0.41595809205281897</v>
      </c>
      <c r="C42" s="3">
        <f t="shared" ca="1" si="11"/>
        <v>5</v>
      </c>
      <c r="D42" s="3">
        <f t="shared" ca="1" si="17"/>
        <v>225</v>
      </c>
      <c r="E42" s="2">
        <f t="shared" ca="1" si="12"/>
        <v>0.39455875966620713</v>
      </c>
      <c r="F42" s="3">
        <f t="shared" ca="1" si="13"/>
        <v>3</v>
      </c>
      <c r="G42" s="3">
        <f t="shared" ca="1" si="18"/>
        <v>225</v>
      </c>
      <c r="H42" s="3">
        <f t="shared" ca="1" si="14"/>
        <v>228</v>
      </c>
      <c r="I42" s="3">
        <f t="shared" ca="1" si="15"/>
        <v>3</v>
      </c>
      <c r="J42" s="3">
        <f t="shared" ca="1" si="16"/>
        <v>0</v>
      </c>
      <c r="K42" s="3">
        <f t="shared" ca="1" si="19"/>
        <v>0</v>
      </c>
    </row>
    <row r="43" spans="1:11" x14ac:dyDescent="0.45">
      <c r="A43">
        <v>42</v>
      </c>
      <c r="B43" s="2">
        <f t="shared" ca="1" si="10"/>
        <v>0.19809205056201318</v>
      </c>
      <c r="C43" s="3">
        <f t="shared" ca="1" si="11"/>
        <v>3</v>
      </c>
      <c r="D43" s="3">
        <f t="shared" ca="1" si="17"/>
        <v>228</v>
      </c>
      <c r="E43" s="2">
        <f t="shared" ca="1" si="12"/>
        <v>0.67330515036821814</v>
      </c>
      <c r="F43" s="3">
        <f t="shared" ca="1" si="13"/>
        <v>4</v>
      </c>
      <c r="G43" s="3">
        <f t="shared" ca="1" si="18"/>
        <v>228</v>
      </c>
      <c r="H43" s="3">
        <f t="shared" ca="1" si="14"/>
        <v>232</v>
      </c>
      <c r="I43" s="3">
        <f t="shared" ca="1" si="15"/>
        <v>4</v>
      </c>
      <c r="J43" s="3">
        <f t="shared" ca="1" si="16"/>
        <v>0</v>
      </c>
      <c r="K43" s="3">
        <f t="shared" ca="1" si="19"/>
        <v>0</v>
      </c>
    </row>
    <row r="44" spans="1:11" x14ac:dyDescent="0.45">
      <c r="A44">
        <v>43</v>
      </c>
      <c r="B44" s="2">
        <f t="shared" ca="1" si="10"/>
        <v>0.68430321968315899</v>
      </c>
      <c r="C44" s="3">
        <f t="shared" ca="1" si="11"/>
        <v>7</v>
      </c>
      <c r="D44" s="3">
        <f t="shared" ca="1" si="17"/>
        <v>235</v>
      </c>
      <c r="E44" s="2">
        <f t="shared" ca="1" si="12"/>
        <v>0.38276152408038844</v>
      </c>
      <c r="F44" s="3">
        <f t="shared" ca="1" si="13"/>
        <v>3</v>
      </c>
      <c r="G44" s="3">
        <f t="shared" ca="1" si="18"/>
        <v>235</v>
      </c>
      <c r="H44" s="3">
        <f t="shared" ca="1" si="14"/>
        <v>238</v>
      </c>
      <c r="I44" s="3">
        <f t="shared" ca="1" si="15"/>
        <v>3</v>
      </c>
      <c r="J44" s="3">
        <f t="shared" ca="1" si="16"/>
        <v>0</v>
      </c>
      <c r="K44" s="3">
        <f t="shared" ca="1" si="19"/>
        <v>3</v>
      </c>
    </row>
    <row r="45" spans="1:11" x14ac:dyDescent="0.45">
      <c r="A45">
        <v>44</v>
      </c>
      <c r="B45" s="2">
        <f t="shared" ca="1" si="10"/>
        <v>0.45185877699611654</v>
      </c>
      <c r="C45" s="3">
        <f t="shared" ca="1" si="11"/>
        <v>5</v>
      </c>
      <c r="D45" s="3">
        <f t="shared" ca="1" si="17"/>
        <v>240</v>
      </c>
      <c r="E45" s="2">
        <f t="shared" ca="1" si="12"/>
        <v>0.86824868074145178</v>
      </c>
      <c r="F45" s="3">
        <f t="shared" ca="1" si="13"/>
        <v>5</v>
      </c>
      <c r="G45" s="3">
        <f t="shared" ca="1" si="18"/>
        <v>240</v>
      </c>
      <c r="H45" s="3">
        <f t="shared" ca="1" si="14"/>
        <v>245</v>
      </c>
      <c r="I45" s="3">
        <f t="shared" ca="1" si="15"/>
        <v>5</v>
      </c>
      <c r="J45" s="3">
        <f t="shared" ca="1" si="16"/>
        <v>0</v>
      </c>
      <c r="K45" s="3">
        <f t="shared" ca="1" si="19"/>
        <v>2</v>
      </c>
    </row>
    <row r="46" spans="1:11" x14ac:dyDescent="0.45">
      <c r="A46">
        <v>45</v>
      </c>
      <c r="B46" s="2">
        <f t="shared" ca="1" si="10"/>
        <v>0.45269094780449148</v>
      </c>
      <c r="C46" s="3">
        <f t="shared" ca="1" si="11"/>
        <v>5</v>
      </c>
      <c r="D46" s="3">
        <f t="shared" ca="1" si="17"/>
        <v>245</v>
      </c>
      <c r="E46" s="2">
        <f t="shared" ca="1" si="12"/>
        <v>1.3147229731707122E-2</v>
      </c>
      <c r="F46" s="3">
        <f t="shared" ca="1" si="13"/>
        <v>1</v>
      </c>
      <c r="G46" s="3">
        <f t="shared" ca="1" si="18"/>
        <v>245</v>
      </c>
      <c r="H46" s="3">
        <f t="shared" ca="1" si="14"/>
        <v>246</v>
      </c>
      <c r="I46" s="3">
        <f t="shared" ca="1" si="15"/>
        <v>1</v>
      </c>
      <c r="J46" s="3">
        <f t="shared" ca="1" si="16"/>
        <v>0</v>
      </c>
      <c r="K46" s="3">
        <f t="shared" ca="1" si="19"/>
        <v>0</v>
      </c>
    </row>
    <row r="47" spans="1:11" x14ac:dyDescent="0.45">
      <c r="A47">
        <v>46</v>
      </c>
      <c r="B47" s="2">
        <f t="shared" ca="1" si="10"/>
        <v>0.81047586765119828</v>
      </c>
      <c r="C47" s="3">
        <f t="shared" ca="1" si="11"/>
        <v>8</v>
      </c>
      <c r="D47" s="3">
        <f t="shared" ca="1" si="17"/>
        <v>253</v>
      </c>
      <c r="E47" s="2">
        <f t="shared" ca="1" si="12"/>
        <v>0.56913135959729888</v>
      </c>
      <c r="F47" s="3">
        <f t="shared" ca="1" si="13"/>
        <v>4</v>
      </c>
      <c r="G47" s="3">
        <f t="shared" ca="1" si="18"/>
        <v>253</v>
      </c>
      <c r="H47" s="3">
        <f t="shared" ca="1" si="14"/>
        <v>257</v>
      </c>
      <c r="I47" s="3">
        <f t="shared" ca="1" si="15"/>
        <v>4</v>
      </c>
      <c r="J47" s="3">
        <f t="shared" ca="1" si="16"/>
        <v>0</v>
      </c>
      <c r="K47" s="3">
        <f t="shared" ca="1" si="19"/>
        <v>7</v>
      </c>
    </row>
    <row r="48" spans="1:11" x14ac:dyDescent="0.45">
      <c r="A48">
        <v>47</v>
      </c>
      <c r="B48" s="2">
        <f t="shared" ca="1" si="10"/>
        <v>6.5531033982619946E-2</v>
      </c>
      <c r="C48" s="3">
        <f t="shared" ca="1" si="11"/>
        <v>2</v>
      </c>
      <c r="D48" s="3">
        <f t="shared" ca="1" si="17"/>
        <v>255</v>
      </c>
      <c r="E48" s="2">
        <f t="shared" ca="1" si="12"/>
        <v>0.78792735240627076</v>
      </c>
      <c r="F48" s="3">
        <f t="shared" ca="1" si="13"/>
        <v>5</v>
      </c>
      <c r="G48" s="3">
        <f t="shared" ca="1" si="18"/>
        <v>257</v>
      </c>
      <c r="H48" s="3">
        <f t="shared" ca="1" si="14"/>
        <v>262</v>
      </c>
      <c r="I48" s="3">
        <f t="shared" ca="1" si="15"/>
        <v>7</v>
      </c>
      <c r="J48" s="3">
        <f t="shared" ca="1" si="16"/>
        <v>2</v>
      </c>
      <c r="K48" s="3">
        <f t="shared" ca="1" si="19"/>
        <v>0</v>
      </c>
    </row>
    <row r="49" spans="1:11" x14ac:dyDescent="0.45">
      <c r="A49">
        <v>48</v>
      </c>
      <c r="B49" s="2">
        <f t="shared" ca="1" si="10"/>
        <v>0.78653331635232637</v>
      </c>
      <c r="C49" s="3">
        <f t="shared" ca="1" si="11"/>
        <v>8</v>
      </c>
      <c r="D49" s="3">
        <f t="shared" ca="1" si="17"/>
        <v>263</v>
      </c>
      <c r="E49" s="2">
        <f t="shared" ca="1" si="12"/>
        <v>0.5225255646460506</v>
      </c>
      <c r="F49" s="3">
        <f t="shared" ca="1" si="13"/>
        <v>4</v>
      </c>
      <c r="G49" s="3">
        <f t="shared" ca="1" si="18"/>
        <v>263</v>
      </c>
      <c r="H49" s="3">
        <f t="shared" ca="1" si="14"/>
        <v>267</v>
      </c>
      <c r="I49" s="3">
        <f t="shared" ca="1" si="15"/>
        <v>4</v>
      </c>
      <c r="J49" s="3">
        <f t="shared" ca="1" si="16"/>
        <v>0</v>
      </c>
      <c r="K49" s="3">
        <f t="shared" ca="1" si="19"/>
        <v>1</v>
      </c>
    </row>
    <row r="50" spans="1:11" x14ac:dyDescent="0.45">
      <c r="A50">
        <v>49</v>
      </c>
      <c r="B50" s="2">
        <f t="shared" ca="1" si="10"/>
        <v>0.7308684642578358</v>
      </c>
      <c r="C50" s="3">
        <f t="shared" ca="1" si="11"/>
        <v>8</v>
      </c>
      <c r="D50" s="3">
        <f t="shared" ca="1" si="17"/>
        <v>271</v>
      </c>
      <c r="E50" s="2">
        <f t="shared" ca="1" si="12"/>
        <v>0.86007332991585783</v>
      </c>
      <c r="F50" s="3">
        <f t="shared" ca="1" si="13"/>
        <v>5</v>
      </c>
      <c r="G50" s="3">
        <f t="shared" ca="1" si="18"/>
        <v>271</v>
      </c>
      <c r="H50" s="3">
        <f t="shared" ca="1" si="14"/>
        <v>276</v>
      </c>
      <c r="I50" s="3">
        <f t="shared" ca="1" si="15"/>
        <v>5</v>
      </c>
      <c r="J50" s="3">
        <f t="shared" ca="1" si="16"/>
        <v>0</v>
      </c>
      <c r="K50" s="3">
        <f t="shared" ca="1" si="19"/>
        <v>4</v>
      </c>
    </row>
    <row r="51" spans="1:11" x14ac:dyDescent="0.45">
      <c r="A51">
        <v>50</v>
      </c>
      <c r="B51" s="2">
        <f t="shared" ca="1" si="10"/>
        <v>5.1483199309566796E-2</v>
      </c>
      <c r="C51" s="3">
        <f t="shared" ca="1" si="11"/>
        <v>1</v>
      </c>
      <c r="D51" s="3">
        <f t="shared" ca="1" si="17"/>
        <v>272</v>
      </c>
      <c r="E51" s="2">
        <f t="shared" ca="1" si="12"/>
        <v>0.59122692118517806</v>
      </c>
      <c r="F51" s="3">
        <f t="shared" ca="1" si="13"/>
        <v>4</v>
      </c>
      <c r="G51" s="3">
        <f t="shared" ca="1" si="18"/>
        <v>276</v>
      </c>
      <c r="H51" s="3">
        <f t="shared" ca="1" si="14"/>
        <v>280</v>
      </c>
      <c r="I51" s="3">
        <f t="shared" ca="1" si="15"/>
        <v>8</v>
      </c>
      <c r="J51" s="3">
        <f t="shared" ca="1" si="16"/>
        <v>4</v>
      </c>
      <c r="K51" s="3">
        <f t="shared" ca="1" si="19"/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1"/>
  <sheetViews>
    <sheetView workbookViewId="0">
      <selection activeCell="B2" sqref="B2:B51"/>
    </sheetView>
  </sheetViews>
  <sheetFormatPr baseColWidth="10" defaultColWidth="9.06640625" defaultRowHeight="14.25" x14ac:dyDescent="0.45"/>
  <cols>
    <col min="1" max="1" width="9" customWidth="1"/>
    <col min="2" max="2" width="18" customWidth="1"/>
    <col min="3" max="3" width="29" customWidth="1"/>
    <col min="4" max="4" width="19" customWidth="1"/>
    <col min="5" max="5" width="20" customWidth="1"/>
    <col min="6" max="6" width="26" customWidth="1"/>
    <col min="7" max="7" width="20" customWidth="1"/>
    <col min="8" max="8" width="17" customWidth="1"/>
    <col min="9" max="9" width="25" customWidth="1"/>
    <col min="10" max="10" width="24" customWidth="1"/>
    <col min="11" max="11" width="32" customWidth="1"/>
  </cols>
  <sheetData>
    <row r="1" spans="1:1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5">
      <c r="A2">
        <v>1</v>
      </c>
      <c r="B2" s="2">
        <f t="shared" ref="B2:B33" ca="1" si="0">RAND()</f>
        <v>0.48086003421511725</v>
      </c>
      <c r="C2" s="3">
        <f t="shared" ref="C2:C33" ca="1" si="1">ROUND(-LN(1-B2)/0.1, 0)</f>
        <v>7</v>
      </c>
      <c r="D2" s="3">
        <f ca="1">ROUND(C2, 0)</f>
        <v>7</v>
      </c>
      <c r="E2" s="3">
        <f t="shared" ref="E2:E33" ca="1" si="2">RAND()</f>
        <v>0.5696092934096969</v>
      </c>
      <c r="F2" s="3">
        <f t="shared" ref="F2:F33" ca="1" si="3">ROUND(1 + (6-1)*E2, 0)</f>
        <v>4</v>
      </c>
      <c r="G2" s="3">
        <f ca="1">ROUND(D2, 0)</f>
        <v>7</v>
      </c>
      <c r="H2" s="3">
        <f t="shared" ref="H2:H33" ca="1" si="4">ROUND(G2+F2, 0)</f>
        <v>11</v>
      </c>
      <c r="I2" s="3">
        <f t="shared" ref="I2:I33" ca="1" si="5">ROUND(H2-D2, 0)</f>
        <v>4</v>
      </c>
      <c r="J2" s="3">
        <f t="shared" ref="J2:J33" ca="1" si="6">ROUND(G2-D2, 0)</f>
        <v>0</v>
      </c>
      <c r="K2" s="3">
        <f ca="1">ROUND(D2, 0)</f>
        <v>7</v>
      </c>
    </row>
    <row r="3" spans="1:11" x14ac:dyDescent="0.45">
      <c r="A3">
        <v>2</v>
      </c>
      <c r="B3" s="2">
        <f t="shared" ca="1" si="0"/>
        <v>0.6233054109941929</v>
      </c>
      <c r="C3" s="3">
        <f t="shared" ca="1" si="1"/>
        <v>10</v>
      </c>
      <c r="D3" s="3">
        <f t="shared" ref="D3:D34" ca="1" si="7">ROUND(D2+C3, 0)</f>
        <v>17</v>
      </c>
      <c r="E3" s="3">
        <f t="shared" ca="1" si="2"/>
        <v>0.69953078888533826</v>
      </c>
      <c r="F3" s="3">
        <f t="shared" ca="1" si="3"/>
        <v>4</v>
      </c>
      <c r="G3" s="3">
        <f t="shared" ref="G3:G34" ca="1" si="8">ROUND(MAX(D3, H2), 0)</f>
        <v>17</v>
      </c>
      <c r="H3" s="3">
        <f t="shared" ca="1" si="4"/>
        <v>21</v>
      </c>
      <c r="I3" s="3">
        <f t="shared" ca="1" si="5"/>
        <v>4</v>
      </c>
      <c r="J3" s="3">
        <f t="shared" ca="1" si="6"/>
        <v>0</v>
      </c>
      <c r="K3" s="3">
        <f t="shared" ref="K3:K34" ca="1" si="9">ROUND(MAX(0, G3-H2), 0)</f>
        <v>6</v>
      </c>
    </row>
    <row r="4" spans="1:11" x14ac:dyDescent="0.45">
      <c r="A4">
        <v>3</v>
      </c>
      <c r="B4" s="2">
        <f t="shared" ca="1" si="0"/>
        <v>0.78105461790960629</v>
      </c>
      <c r="C4" s="3">
        <f t="shared" ca="1" si="1"/>
        <v>15</v>
      </c>
      <c r="D4" s="3">
        <f t="shared" ca="1" si="7"/>
        <v>32</v>
      </c>
      <c r="E4" s="3">
        <f t="shared" ca="1" si="2"/>
        <v>0.5060063967703442</v>
      </c>
      <c r="F4" s="3">
        <f t="shared" ca="1" si="3"/>
        <v>4</v>
      </c>
      <c r="G4" s="3">
        <f t="shared" ca="1" si="8"/>
        <v>32</v>
      </c>
      <c r="H4" s="3">
        <f t="shared" ca="1" si="4"/>
        <v>36</v>
      </c>
      <c r="I4" s="3">
        <f t="shared" ca="1" si="5"/>
        <v>4</v>
      </c>
      <c r="J4" s="3">
        <f t="shared" ca="1" si="6"/>
        <v>0</v>
      </c>
      <c r="K4" s="3">
        <f t="shared" ca="1" si="9"/>
        <v>11</v>
      </c>
    </row>
    <row r="5" spans="1:11" x14ac:dyDescent="0.45">
      <c r="A5">
        <v>4</v>
      </c>
      <c r="B5" s="2">
        <f t="shared" ca="1" si="0"/>
        <v>0.28721180218628017</v>
      </c>
      <c r="C5" s="3">
        <f t="shared" ca="1" si="1"/>
        <v>3</v>
      </c>
      <c r="D5" s="3">
        <f t="shared" ca="1" si="7"/>
        <v>35</v>
      </c>
      <c r="E5" s="3">
        <f t="shared" ca="1" si="2"/>
        <v>0.85510063854399465</v>
      </c>
      <c r="F5" s="3">
        <f t="shared" ca="1" si="3"/>
        <v>5</v>
      </c>
      <c r="G5" s="3">
        <f t="shared" ca="1" si="8"/>
        <v>36</v>
      </c>
      <c r="H5" s="3">
        <f t="shared" ca="1" si="4"/>
        <v>41</v>
      </c>
      <c r="I5" s="3">
        <f t="shared" ca="1" si="5"/>
        <v>6</v>
      </c>
      <c r="J5" s="3">
        <f t="shared" ca="1" si="6"/>
        <v>1</v>
      </c>
      <c r="K5" s="3">
        <f t="shared" ca="1" si="9"/>
        <v>0</v>
      </c>
    </row>
    <row r="6" spans="1:11" x14ac:dyDescent="0.45">
      <c r="A6">
        <v>5</v>
      </c>
      <c r="B6" s="2">
        <f t="shared" ca="1" si="0"/>
        <v>0.67184809258258371</v>
      </c>
      <c r="C6" s="3">
        <f t="shared" ca="1" si="1"/>
        <v>11</v>
      </c>
      <c r="D6" s="3">
        <f t="shared" ca="1" si="7"/>
        <v>46</v>
      </c>
      <c r="E6" s="3">
        <f t="shared" ca="1" si="2"/>
        <v>8.832716370495719E-2</v>
      </c>
      <c r="F6" s="3">
        <f t="shared" ca="1" si="3"/>
        <v>1</v>
      </c>
      <c r="G6" s="3">
        <f t="shared" ca="1" si="8"/>
        <v>46</v>
      </c>
      <c r="H6" s="3">
        <f t="shared" ca="1" si="4"/>
        <v>47</v>
      </c>
      <c r="I6" s="3">
        <f t="shared" ca="1" si="5"/>
        <v>1</v>
      </c>
      <c r="J6" s="3">
        <f t="shared" ca="1" si="6"/>
        <v>0</v>
      </c>
      <c r="K6" s="3">
        <f t="shared" ca="1" si="9"/>
        <v>5</v>
      </c>
    </row>
    <row r="7" spans="1:11" x14ac:dyDescent="0.45">
      <c r="A7">
        <v>6</v>
      </c>
      <c r="B7" s="2">
        <f t="shared" ca="1" si="0"/>
        <v>0.17990432258099809</v>
      </c>
      <c r="C7" s="3">
        <f t="shared" ca="1" si="1"/>
        <v>2</v>
      </c>
      <c r="D7" s="3">
        <f t="shared" ca="1" si="7"/>
        <v>48</v>
      </c>
      <c r="E7" s="3">
        <f t="shared" ca="1" si="2"/>
        <v>0.869809299327857</v>
      </c>
      <c r="F7" s="3">
        <f t="shared" ca="1" si="3"/>
        <v>5</v>
      </c>
      <c r="G7" s="3">
        <f t="shared" ca="1" si="8"/>
        <v>48</v>
      </c>
      <c r="H7" s="3">
        <f t="shared" ca="1" si="4"/>
        <v>53</v>
      </c>
      <c r="I7" s="3">
        <f t="shared" ca="1" si="5"/>
        <v>5</v>
      </c>
      <c r="J7" s="3">
        <f t="shared" ca="1" si="6"/>
        <v>0</v>
      </c>
      <c r="K7" s="3">
        <f t="shared" ca="1" si="9"/>
        <v>1</v>
      </c>
    </row>
    <row r="8" spans="1:11" x14ac:dyDescent="0.45">
      <c r="A8">
        <v>7</v>
      </c>
      <c r="B8" s="2">
        <f t="shared" ca="1" si="0"/>
        <v>0.78241177352232705</v>
      </c>
      <c r="C8" s="3">
        <f t="shared" ca="1" si="1"/>
        <v>15</v>
      </c>
      <c r="D8" s="3">
        <f t="shared" ca="1" si="7"/>
        <v>63</v>
      </c>
      <c r="E8" s="3">
        <f t="shared" ca="1" si="2"/>
        <v>0.97582946599497644</v>
      </c>
      <c r="F8" s="3">
        <f t="shared" ca="1" si="3"/>
        <v>6</v>
      </c>
      <c r="G8" s="3">
        <f t="shared" ca="1" si="8"/>
        <v>63</v>
      </c>
      <c r="H8" s="3">
        <f t="shared" ca="1" si="4"/>
        <v>69</v>
      </c>
      <c r="I8" s="3">
        <f t="shared" ca="1" si="5"/>
        <v>6</v>
      </c>
      <c r="J8" s="3">
        <f t="shared" ca="1" si="6"/>
        <v>0</v>
      </c>
      <c r="K8" s="3">
        <f t="shared" ca="1" si="9"/>
        <v>10</v>
      </c>
    </row>
    <row r="9" spans="1:11" x14ac:dyDescent="0.45">
      <c r="A9">
        <v>8</v>
      </c>
      <c r="B9" s="2">
        <f t="shared" ca="1" si="0"/>
        <v>0.92999633640025581</v>
      </c>
      <c r="C9" s="3">
        <f t="shared" ca="1" si="1"/>
        <v>27</v>
      </c>
      <c r="D9" s="3">
        <f t="shared" ca="1" si="7"/>
        <v>90</v>
      </c>
      <c r="E9" s="3">
        <f t="shared" ca="1" si="2"/>
        <v>0.80218805834476525</v>
      </c>
      <c r="F9" s="3">
        <f t="shared" ca="1" si="3"/>
        <v>5</v>
      </c>
      <c r="G9" s="3">
        <f t="shared" ca="1" si="8"/>
        <v>90</v>
      </c>
      <c r="H9" s="3">
        <f t="shared" ca="1" si="4"/>
        <v>95</v>
      </c>
      <c r="I9" s="3">
        <f t="shared" ca="1" si="5"/>
        <v>5</v>
      </c>
      <c r="J9" s="3">
        <f t="shared" ca="1" si="6"/>
        <v>0</v>
      </c>
      <c r="K9" s="3">
        <f t="shared" ca="1" si="9"/>
        <v>21</v>
      </c>
    </row>
    <row r="10" spans="1:11" x14ac:dyDescent="0.45">
      <c r="A10">
        <v>9</v>
      </c>
      <c r="B10" s="2">
        <f t="shared" ca="1" si="0"/>
        <v>0.7869621550223993</v>
      </c>
      <c r="C10" s="3">
        <f t="shared" ca="1" si="1"/>
        <v>15</v>
      </c>
      <c r="D10" s="3">
        <f t="shared" ca="1" si="7"/>
        <v>105</v>
      </c>
      <c r="E10" s="3">
        <f t="shared" ca="1" si="2"/>
        <v>4.7724645895981133E-2</v>
      </c>
      <c r="F10" s="3">
        <f t="shared" ca="1" si="3"/>
        <v>1</v>
      </c>
      <c r="G10" s="3">
        <f t="shared" ca="1" si="8"/>
        <v>105</v>
      </c>
      <c r="H10" s="3">
        <f t="shared" ca="1" si="4"/>
        <v>106</v>
      </c>
      <c r="I10" s="3">
        <f t="shared" ca="1" si="5"/>
        <v>1</v>
      </c>
      <c r="J10" s="3">
        <f t="shared" ca="1" si="6"/>
        <v>0</v>
      </c>
      <c r="K10" s="3">
        <f t="shared" ca="1" si="9"/>
        <v>10</v>
      </c>
    </row>
    <row r="11" spans="1:11" x14ac:dyDescent="0.45">
      <c r="A11">
        <v>10</v>
      </c>
      <c r="B11" s="2">
        <f t="shared" ca="1" si="0"/>
        <v>0.10208059252731427</v>
      </c>
      <c r="C11" s="3">
        <f t="shared" ca="1" si="1"/>
        <v>1</v>
      </c>
      <c r="D11" s="3">
        <f t="shared" ca="1" si="7"/>
        <v>106</v>
      </c>
      <c r="E11" s="3">
        <f t="shared" ca="1" si="2"/>
        <v>0.88449912665366093</v>
      </c>
      <c r="F11" s="3">
        <f t="shared" ca="1" si="3"/>
        <v>5</v>
      </c>
      <c r="G11" s="3">
        <f t="shared" ca="1" si="8"/>
        <v>106</v>
      </c>
      <c r="H11" s="3">
        <f t="shared" ca="1" si="4"/>
        <v>111</v>
      </c>
      <c r="I11" s="3">
        <f t="shared" ca="1" si="5"/>
        <v>5</v>
      </c>
      <c r="J11" s="3">
        <f t="shared" ca="1" si="6"/>
        <v>0</v>
      </c>
      <c r="K11" s="3">
        <f t="shared" ca="1" si="9"/>
        <v>0</v>
      </c>
    </row>
    <row r="12" spans="1:11" x14ac:dyDescent="0.45">
      <c r="A12">
        <v>11</v>
      </c>
      <c r="B12" s="2">
        <f t="shared" ca="1" si="0"/>
        <v>0.89158404517969103</v>
      </c>
      <c r="C12" s="3">
        <f t="shared" ca="1" si="1"/>
        <v>22</v>
      </c>
      <c r="D12" s="3">
        <f t="shared" ca="1" si="7"/>
        <v>128</v>
      </c>
      <c r="E12" s="3">
        <f t="shared" ca="1" si="2"/>
        <v>0.29400731068798924</v>
      </c>
      <c r="F12" s="3">
        <f t="shared" ca="1" si="3"/>
        <v>2</v>
      </c>
      <c r="G12" s="3">
        <f t="shared" ca="1" si="8"/>
        <v>128</v>
      </c>
      <c r="H12" s="3">
        <f t="shared" ca="1" si="4"/>
        <v>130</v>
      </c>
      <c r="I12" s="3">
        <f t="shared" ca="1" si="5"/>
        <v>2</v>
      </c>
      <c r="J12" s="3">
        <f t="shared" ca="1" si="6"/>
        <v>0</v>
      </c>
      <c r="K12" s="3">
        <f t="shared" ca="1" si="9"/>
        <v>17</v>
      </c>
    </row>
    <row r="13" spans="1:11" x14ac:dyDescent="0.45">
      <c r="A13">
        <v>12</v>
      </c>
      <c r="B13" s="2">
        <f t="shared" ca="1" si="0"/>
        <v>0.10479899023964834</v>
      </c>
      <c r="C13" s="3">
        <f t="shared" ca="1" si="1"/>
        <v>1</v>
      </c>
      <c r="D13" s="3">
        <f t="shared" ca="1" si="7"/>
        <v>129</v>
      </c>
      <c r="E13" s="3">
        <f t="shared" ca="1" si="2"/>
        <v>0.47775994353341833</v>
      </c>
      <c r="F13" s="3">
        <f t="shared" ca="1" si="3"/>
        <v>3</v>
      </c>
      <c r="G13" s="3">
        <f t="shared" ca="1" si="8"/>
        <v>130</v>
      </c>
      <c r="H13" s="3">
        <f t="shared" ca="1" si="4"/>
        <v>133</v>
      </c>
      <c r="I13" s="3">
        <f t="shared" ca="1" si="5"/>
        <v>4</v>
      </c>
      <c r="J13" s="3">
        <f t="shared" ca="1" si="6"/>
        <v>1</v>
      </c>
      <c r="K13" s="3">
        <f t="shared" ca="1" si="9"/>
        <v>0</v>
      </c>
    </row>
    <row r="14" spans="1:11" x14ac:dyDescent="0.45">
      <c r="A14">
        <v>13</v>
      </c>
      <c r="B14" s="2">
        <f t="shared" ca="1" si="0"/>
        <v>0.75436847814802632</v>
      </c>
      <c r="C14" s="3">
        <f t="shared" ca="1" si="1"/>
        <v>14</v>
      </c>
      <c r="D14" s="3">
        <f t="shared" ca="1" si="7"/>
        <v>143</v>
      </c>
      <c r="E14" s="3">
        <f t="shared" ca="1" si="2"/>
        <v>0.85161953086978925</v>
      </c>
      <c r="F14" s="3">
        <f t="shared" ca="1" si="3"/>
        <v>5</v>
      </c>
      <c r="G14" s="3">
        <f t="shared" ca="1" si="8"/>
        <v>143</v>
      </c>
      <c r="H14" s="3">
        <f t="shared" ca="1" si="4"/>
        <v>148</v>
      </c>
      <c r="I14" s="3">
        <f t="shared" ca="1" si="5"/>
        <v>5</v>
      </c>
      <c r="J14" s="3">
        <f t="shared" ca="1" si="6"/>
        <v>0</v>
      </c>
      <c r="K14" s="3">
        <f t="shared" ca="1" si="9"/>
        <v>10</v>
      </c>
    </row>
    <row r="15" spans="1:11" x14ac:dyDescent="0.45">
      <c r="A15">
        <v>14</v>
      </c>
      <c r="B15" s="2">
        <f t="shared" ca="1" si="0"/>
        <v>0.75596480778921649</v>
      </c>
      <c r="C15" s="3">
        <f t="shared" ca="1" si="1"/>
        <v>14</v>
      </c>
      <c r="D15" s="3">
        <f t="shared" ca="1" si="7"/>
        <v>157</v>
      </c>
      <c r="E15" s="3">
        <f t="shared" ca="1" si="2"/>
        <v>0.78731966909041073</v>
      </c>
      <c r="F15" s="3">
        <f t="shared" ca="1" si="3"/>
        <v>5</v>
      </c>
      <c r="G15" s="3">
        <f t="shared" ca="1" si="8"/>
        <v>157</v>
      </c>
      <c r="H15" s="3">
        <f t="shared" ca="1" si="4"/>
        <v>162</v>
      </c>
      <c r="I15" s="3">
        <f t="shared" ca="1" si="5"/>
        <v>5</v>
      </c>
      <c r="J15" s="3">
        <f t="shared" ca="1" si="6"/>
        <v>0</v>
      </c>
      <c r="K15" s="3">
        <f t="shared" ca="1" si="9"/>
        <v>9</v>
      </c>
    </row>
    <row r="16" spans="1:11" x14ac:dyDescent="0.45">
      <c r="A16">
        <v>15</v>
      </c>
      <c r="B16" s="2">
        <f t="shared" ca="1" si="0"/>
        <v>0.54665450438906571</v>
      </c>
      <c r="C16" s="3">
        <f t="shared" ca="1" si="1"/>
        <v>8</v>
      </c>
      <c r="D16" s="3">
        <f t="shared" ca="1" si="7"/>
        <v>165</v>
      </c>
      <c r="E16" s="3">
        <f t="shared" ca="1" si="2"/>
        <v>9.4634395733306009E-2</v>
      </c>
      <c r="F16" s="3">
        <f t="shared" ca="1" si="3"/>
        <v>1</v>
      </c>
      <c r="G16" s="3">
        <f t="shared" ca="1" si="8"/>
        <v>165</v>
      </c>
      <c r="H16" s="3">
        <f t="shared" ca="1" si="4"/>
        <v>166</v>
      </c>
      <c r="I16" s="3">
        <f t="shared" ca="1" si="5"/>
        <v>1</v>
      </c>
      <c r="J16" s="3">
        <f t="shared" ca="1" si="6"/>
        <v>0</v>
      </c>
      <c r="K16" s="3">
        <f t="shared" ca="1" si="9"/>
        <v>3</v>
      </c>
    </row>
    <row r="17" spans="1:11" x14ac:dyDescent="0.45">
      <c r="A17">
        <v>16</v>
      </c>
      <c r="B17" s="2">
        <f t="shared" ca="1" si="0"/>
        <v>0.10307789951916646</v>
      </c>
      <c r="C17" s="3">
        <f t="shared" ca="1" si="1"/>
        <v>1</v>
      </c>
      <c r="D17" s="3">
        <f t="shared" ca="1" si="7"/>
        <v>166</v>
      </c>
      <c r="E17" s="3">
        <f t="shared" ca="1" si="2"/>
        <v>0.2683905097877336</v>
      </c>
      <c r="F17" s="3">
        <f t="shared" ca="1" si="3"/>
        <v>2</v>
      </c>
      <c r="G17" s="3">
        <f t="shared" ca="1" si="8"/>
        <v>166</v>
      </c>
      <c r="H17" s="3">
        <f t="shared" ca="1" si="4"/>
        <v>168</v>
      </c>
      <c r="I17" s="3">
        <f t="shared" ca="1" si="5"/>
        <v>2</v>
      </c>
      <c r="J17" s="3">
        <f t="shared" ca="1" si="6"/>
        <v>0</v>
      </c>
      <c r="K17" s="3">
        <f t="shared" ca="1" si="9"/>
        <v>0</v>
      </c>
    </row>
    <row r="18" spans="1:11" x14ac:dyDescent="0.45">
      <c r="A18">
        <v>17</v>
      </c>
      <c r="B18" s="2">
        <f t="shared" ca="1" si="0"/>
        <v>0.70498677056811765</v>
      </c>
      <c r="C18" s="3">
        <f t="shared" ca="1" si="1"/>
        <v>12</v>
      </c>
      <c r="D18" s="3">
        <f t="shared" ca="1" si="7"/>
        <v>178</v>
      </c>
      <c r="E18" s="3">
        <f t="shared" ca="1" si="2"/>
        <v>0.18656240774840904</v>
      </c>
      <c r="F18" s="3">
        <f t="shared" ca="1" si="3"/>
        <v>2</v>
      </c>
      <c r="G18" s="3">
        <f t="shared" ca="1" si="8"/>
        <v>178</v>
      </c>
      <c r="H18" s="3">
        <f t="shared" ca="1" si="4"/>
        <v>180</v>
      </c>
      <c r="I18" s="3">
        <f t="shared" ca="1" si="5"/>
        <v>2</v>
      </c>
      <c r="J18" s="3">
        <f t="shared" ca="1" si="6"/>
        <v>0</v>
      </c>
      <c r="K18" s="3">
        <f t="shared" ca="1" si="9"/>
        <v>10</v>
      </c>
    </row>
    <row r="19" spans="1:11" x14ac:dyDescent="0.45">
      <c r="A19">
        <v>18</v>
      </c>
      <c r="B19" s="2">
        <f t="shared" ca="1" si="0"/>
        <v>1.656190132813018E-2</v>
      </c>
      <c r="C19" s="3">
        <f t="shared" ca="1" si="1"/>
        <v>0</v>
      </c>
      <c r="D19" s="3">
        <f t="shared" ca="1" si="7"/>
        <v>178</v>
      </c>
      <c r="E19" s="3">
        <f t="shared" ca="1" si="2"/>
        <v>0.37242094838026285</v>
      </c>
      <c r="F19" s="3">
        <f t="shared" ca="1" si="3"/>
        <v>3</v>
      </c>
      <c r="G19" s="3">
        <f t="shared" ca="1" si="8"/>
        <v>180</v>
      </c>
      <c r="H19" s="3">
        <f t="shared" ca="1" si="4"/>
        <v>183</v>
      </c>
      <c r="I19" s="3">
        <f t="shared" ca="1" si="5"/>
        <v>5</v>
      </c>
      <c r="J19" s="3">
        <f t="shared" ca="1" si="6"/>
        <v>2</v>
      </c>
      <c r="K19" s="3">
        <f t="shared" ca="1" si="9"/>
        <v>0</v>
      </c>
    </row>
    <row r="20" spans="1:11" x14ac:dyDescent="0.45">
      <c r="A20">
        <v>19</v>
      </c>
      <c r="B20" s="2">
        <f t="shared" ca="1" si="0"/>
        <v>0.11092979536823255</v>
      </c>
      <c r="C20" s="3">
        <f t="shared" ca="1" si="1"/>
        <v>1</v>
      </c>
      <c r="D20" s="3">
        <f t="shared" ca="1" si="7"/>
        <v>179</v>
      </c>
      <c r="E20" s="3">
        <f t="shared" ca="1" si="2"/>
        <v>0.91150186160556168</v>
      </c>
      <c r="F20" s="3">
        <f t="shared" ca="1" si="3"/>
        <v>6</v>
      </c>
      <c r="G20" s="3">
        <f t="shared" ca="1" si="8"/>
        <v>183</v>
      </c>
      <c r="H20" s="3">
        <f t="shared" ca="1" si="4"/>
        <v>189</v>
      </c>
      <c r="I20" s="3">
        <f t="shared" ca="1" si="5"/>
        <v>10</v>
      </c>
      <c r="J20" s="3">
        <f t="shared" ca="1" si="6"/>
        <v>4</v>
      </c>
      <c r="K20" s="3">
        <f t="shared" ca="1" si="9"/>
        <v>0</v>
      </c>
    </row>
    <row r="21" spans="1:11" x14ac:dyDescent="0.45">
      <c r="A21">
        <v>20</v>
      </c>
      <c r="B21" s="2">
        <f t="shared" ca="1" si="0"/>
        <v>0.38108735847055875</v>
      </c>
      <c r="C21" s="3">
        <f t="shared" ca="1" si="1"/>
        <v>5</v>
      </c>
      <c r="D21" s="3">
        <f t="shared" ca="1" si="7"/>
        <v>184</v>
      </c>
      <c r="E21" s="3">
        <f t="shared" ca="1" si="2"/>
        <v>0.81692536890136258</v>
      </c>
      <c r="F21" s="3">
        <f t="shared" ca="1" si="3"/>
        <v>5</v>
      </c>
      <c r="G21" s="3">
        <f t="shared" ca="1" si="8"/>
        <v>189</v>
      </c>
      <c r="H21" s="3">
        <f t="shared" ca="1" si="4"/>
        <v>194</v>
      </c>
      <c r="I21" s="3">
        <f t="shared" ca="1" si="5"/>
        <v>10</v>
      </c>
      <c r="J21" s="3">
        <f t="shared" ca="1" si="6"/>
        <v>5</v>
      </c>
      <c r="K21" s="3">
        <f t="shared" ca="1" si="9"/>
        <v>0</v>
      </c>
    </row>
    <row r="22" spans="1:11" x14ac:dyDescent="0.45">
      <c r="A22">
        <v>21</v>
      </c>
      <c r="B22" s="2">
        <f t="shared" ca="1" si="0"/>
        <v>0.3339430232282492</v>
      </c>
      <c r="C22" s="3">
        <f t="shared" ca="1" si="1"/>
        <v>4</v>
      </c>
      <c r="D22" s="3">
        <f t="shared" ca="1" si="7"/>
        <v>188</v>
      </c>
      <c r="E22" s="3">
        <f t="shared" ca="1" si="2"/>
        <v>0.7309531093565349</v>
      </c>
      <c r="F22" s="3">
        <f t="shared" ca="1" si="3"/>
        <v>5</v>
      </c>
      <c r="G22" s="3">
        <f t="shared" ca="1" si="8"/>
        <v>194</v>
      </c>
      <c r="H22" s="3">
        <f t="shared" ca="1" si="4"/>
        <v>199</v>
      </c>
      <c r="I22" s="3">
        <f t="shared" ca="1" si="5"/>
        <v>11</v>
      </c>
      <c r="J22" s="3">
        <f t="shared" ca="1" si="6"/>
        <v>6</v>
      </c>
      <c r="K22" s="3">
        <f t="shared" ca="1" si="9"/>
        <v>0</v>
      </c>
    </row>
    <row r="23" spans="1:11" x14ac:dyDescent="0.45">
      <c r="A23">
        <v>22</v>
      </c>
      <c r="B23" s="2">
        <f t="shared" ca="1" si="0"/>
        <v>0.16920089919975057</v>
      </c>
      <c r="C23" s="3">
        <f t="shared" ca="1" si="1"/>
        <v>2</v>
      </c>
      <c r="D23" s="3">
        <f t="shared" ca="1" si="7"/>
        <v>190</v>
      </c>
      <c r="E23" s="3">
        <f t="shared" ca="1" si="2"/>
        <v>0.76753266374688101</v>
      </c>
      <c r="F23" s="3">
        <f t="shared" ca="1" si="3"/>
        <v>5</v>
      </c>
      <c r="G23" s="3">
        <f t="shared" ca="1" si="8"/>
        <v>199</v>
      </c>
      <c r="H23" s="3">
        <f t="shared" ca="1" si="4"/>
        <v>204</v>
      </c>
      <c r="I23" s="3">
        <f t="shared" ca="1" si="5"/>
        <v>14</v>
      </c>
      <c r="J23" s="3">
        <f t="shared" ca="1" si="6"/>
        <v>9</v>
      </c>
      <c r="K23" s="3">
        <f t="shared" ca="1" si="9"/>
        <v>0</v>
      </c>
    </row>
    <row r="24" spans="1:11" x14ac:dyDescent="0.45">
      <c r="A24">
        <v>23</v>
      </c>
      <c r="B24" s="2">
        <f t="shared" ca="1" si="0"/>
        <v>0.50184391714661569</v>
      </c>
      <c r="C24" s="3">
        <f t="shared" ca="1" si="1"/>
        <v>7</v>
      </c>
      <c r="D24" s="3">
        <f t="shared" ca="1" si="7"/>
        <v>197</v>
      </c>
      <c r="E24" s="3">
        <f t="shared" ca="1" si="2"/>
        <v>0.88956790503221039</v>
      </c>
      <c r="F24" s="3">
        <f t="shared" ca="1" si="3"/>
        <v>5</v>
      </c>
      <c r="G24" s="3">
        <f t="shared" ca="1" si="8"/>
        <v>204</v>
      </c>
      <c r="H24" s="3">
        <f t="shared" ca="1" si="4"/>
        <v>209</v>
      </c>
      <c r="I24" s="3">
        <f t="shared" ca="1" si="5"/>
        <v>12</v>
      </c>
      <c r="J24" s="3">
        <f t="shared" ca="1" si="6"/>
        <v>7</v>
      </c>
      <c r="K24" s="3">
        <f t="shared" ca="1" si="9"/>
        <v>0</v>
      </c>
    </row>
    <row r="25" spans="1:11" x14ac:dyDescent="0.45">
      <c r="A25">
        <v>24</v>
      </c>
      <c r="B25" s="2">
        <f t="shared" ca="1" si="0"/>
        <v>0.28590317581246161</v>
      </c>
      <c r="C25" s="3">
        <f t="shared" ca="1" si="1"/>
        <v>3</v>
      </c>
      <c r="D25" s="3">
        <f t="shared" ca="1" si="7"/>
        <v>200</v>
      </c>
      <c r="E25" s="3">
        <f t="shared" ca="1" si="2"/>
        <v>0.25306034318446002</v>
      </c>
      <c r="F25" s="3">
        <f t="shared" ca="1" si="3"/>
        <v>2</v>
      </c>
      <c r="G25" s="3">
        <f t="shared" ca="1" si="8"/>
        <v>209</v>
      </c>
      <c r="H25" s="3">
        <f t="shared" ca="1" si="4"/>
        <v>211</v>
      </c>
      <c r="I25" s="3">
        <f t="shared" ca="1" si="5"/>
        <v>11</v>
      </c>
      <c r="J25" s="3">
        <f t="shared" ca="1" si="6"/>
        <v>9</v>
      </c>
      <c r="K25" s="3">
        <f t="shared" ca="1" si="9"/>
        <v>0</v>
      </c>
    </row>
    <row r="26" spans="1:11" x14ac:dyDescent="0.45">
      <c r="A26">
        <v>25</v>
      </c>
      <c r="B26" s="2">
        <f t="shared" ca="1" si="0"/>
        <v>0.31779050381787233</v>
      </c>
      <c r="C26" s="3">
        <f t="shared" ca="1" si="1"/>
        <v>4</v>
      </c>
      <c r="D26" s="3">
        <f t="shared" ca="1" si="7"/>
        <v>204</v>
      </c>
      <c r="E26" s="3">
        <f t="shared" ca="1" si="2"/>
        <v>0.27424371079235454</v>
      </c>
      <c r="F26" s="3">
        <f t="shared" ca="1" si="3"/>
        <v>2</v>
      </c>
      <c r="G26" s="3">
        <f t="shared" ca="1" si="8"/>
        <v>211</v>
      </c>
      <c r="H26" s="3">
        <f t="shared" ca="1" si="4"/>
        <v>213</v>
      </c>
      <c r="I26" s="3">
        <f t="shared" ca="1" si="5"/>
        <v>9</v>
      </c>
      <c r="J26" s="3">
        <f t="shared" ca="1" si="6"/>
        <v>7</v>
      </c>
      <c r="K26" s="3">
        <f t="shared" ca="1" si="9"/>
        <v>0</v>
      </c>
    </row>
    <row r="27" spans="1:11" x14ac:dyDescent="0.45">
      <c r="A27">
        <v>26</v>
      </c>
      <c r="B27" s="2">
        <f t="shared" ca="1" si="0"/>
        <v>0.70462275486151327</v>
      </c>
      <c r="C27" s="3">
        <f t="shared" ca="1" si="1"/>
        <v>12</v>
      </c>
      <c r="D27" s="3">
        <f t="shared" ca="1" si="7"/>
        <v>216</v>
      </c>
      <c r="E27" s="3">
        <f t="shared" ca="1" si="2"/>
        <v>0.6352766092090919</v>
      </c>
      <c r="F27" s="3">
        <f t="shared" ca="1" si="3"/>
        <v>4</v>
      </c>
      <c r="G27" s="3">
        <f t="shared" ca="1" si="8"/>
        <v>216</v>
      </c>
      <c r="H27" s="3">
        <f t="shared" ca="1" si="4"/>
        <v>220</v>
      </c>
      <c r="I27" s="3">
        <f t="shared" ca="1" si="5"/>
        <v>4</v>
      </c>
      <c r="J27" s="3">
        <f t="shared" ca="1" si="6"/>
        <v>0</v>
      </c>
      <c r="K27" s="3">
        <f t="shared" ca="1" si="9"/>
        <v>3</v>
      </c>
    </row>
    <row r="28" spans="1:11" x14ac:dyDescent="0.45">
      <c r="A28">
        <v>27</v>
      </c>
      <c r="B28" s="2">
        <f t="shared" ca="1" si="0"/>
        <v>0.50707628737163923</v>
      </c>
      <c r="C28" s="3">
        <f t="shared" ca="1" si="1"/>
        <v>7</v>
      </c>
      <c r="D28" s="3">
        <f t="shared" ca="1" si="7"/>
        <v>223</v>
      </c>
      <c r="E28" s="3">
        <f t="shared" ca="1" si="2"/>
        <v>0.63190544776869306</v>
      </c>
      <c r="F28" s="3">
        <f t="shared" ca="1" si="3"/>
        <v>4</v>
      </c>
      <c r="G28" s="3">
        <f t="shared" ca="1" si="8"/>
        <v>223</v>
      </c>
      <c r="H28" s="3">
        <f t="shared" ca="1" si="4"/>
        <v>227</v>
      </c>
      <c r="I28" s="3">
        <f t="shared" ca="1" si="5"/>
        <v>4</v>
      </c>
      <c r="J28" s="3">
        <f t="shared" ca="1" si="6"/>
        <v>0</v>
      </c>
      <c r="K28" s="3">
        <f t="shared" ca="1" si="9"/>
        <v>3</v>
      </c>
    </row>
    <row r="29" spans="1:11" x14ac:dyDescent="0.45">
      <c r="A29">
        <v>28</v>
      </c>
      <c r="B29" s="2">
        <f t="shared" ca="1" si="0"/>
        <v>8.1331838747881191E-2</v>
      </c>
      <c r="C29" s="3">
        <f t="shared" ca="1" si="1"/>
        <v>1</v>
      </c>
      <c r="D29" s="3">
        <f t="shared" ca="1" si="7"/>
        <v>224</v>
      </c>
      <c r="E29" s="3">
        <f t="shared" ca="1" si="2"/>
        <v>2.2441928685716039E-2</v>
      </c>
      <c r="F29" s="3">
        <f t="shared" ca="1" si="3"/>
        <v>1</v>
      </c>
      <c r="G29" s="3">
        <f t="shared" ca="1" si="8"/>
        <v>227</v>
      </c>
      <c r="H29" s="3">
        <f t="shared" ca="1" si="4"/>
        <v>228</v>
      </c>
      <c r="I29" s="3">
        <f t="shared" ca="1" si="5"/>
        <v>4</v>
      </c>
      <c r="J29" s="3">
        <f t="shared" ca="1" si="6"/>
        <v>3</v>
      </c>
      <c r="K29" s="3">
        <f t="shared" ca="1" si="9"/>
        <v>0</v>
      </c>
    </row>
    <row r="30" spans="1:11" x14ac:dyDescent="0.45">
      <c r="A30">
        <v>29</v>
      </c>
      <c r="B30" s="2">
        <f t="shared" ca="1" si="0"/>
        <v>0.81165692517106891</v>
      </c>
      <c r="C30" s="3">
        <f t="shared" ca="1" si="1"/>
        <v>17</v>
      </c>
      <c r="D30" s="3">
        <f t="shared" ca="1" si="7"/>
        <v>241</v>
      </c>
      <c r="E30" s="3">
        <f t="shared" ca="1" si="2"/>
        <v>6.5326185826063976E-2</v>
      </c>
      <c r="F30" s="3">
        <f t="shared" ca="1" si="3"/>
        <v>1</v>
      </c>
      <c r="G30" s="3">
        <f t="shared" ca="1" si="8"/>
        <v>241</v>
      </c>
      <c r="H30" s="3">
        <f t="shared" ca="1" si="4"/>
        <v>242</v>
      </c>
      <c r="I30" s="3">
        <f t="shared" ca="1" si="5"/>
        <v>1</v>
      </c>
      <c r="J30" s="3">
        <f t="shared" ca="1" si="6"/>
        <v>0</v>
      </c>
      <c r="K30" s="3">
        <f t="shared" ca="1" si="9"/>
        <v>13</v>
      </c>
    </row>
    <row r="31" spans="1:11" x14ac:dyDescent="0.45">
      <c r="A31">
        <v>30</v>
      </c>
      <c r="B31" s="2">
        <f t="shared" ca="1" si="0"/>
        <v>0.38625816941726643</v>
      </c>
      <c r="C31" s="3">
        <f t="shared" ca="1" si="1"/>
        <v>5</v>
      </c>
      <c r="D31" s="3">
        <f t="shared" ca="1" si="7"/>
        <v>246</v>
      </c>
      <c r="E31" s="3">
        <f t="shared" ca="1" si="2"/>
        <v>0.42160020900757045</v>
      </c>
      <c r="F31" s="3">
        <f t="shared" ca="1" si="3"/>
        <v>3</v>
      </c>
      <c r="G31" s="3">
        <f t="shared" ca="1" si="8"/>
        <v>246</v>
      </c>
      <c r="H31" s="3">
        <f t="shared" ca="1" si="4"/>
        <v>249</v>
      </c>
      <c r="I31" s="3">
        <f t="shared" ca="1" si="5"/>
        <v>3</v>
      </c>
      <c r="J31" s="3">
        <f t="shared" ca="1" si="6"/>
        <v>0</v>
      </c>
      <c r="K31" s="3">
        <f t="shared" ca="1" si="9"/>
        <v>4</v>
      </c>
    </row>
    <row r="32" spans="1:11" x14ac:dyDescent="0.45">
      <c r="A32">
        <v>31</v>
      </c>
      <c r="B32" s="2">
        <f t="shared" ca="1" si="0"/>
        <v>0.89608027060164386</v>
      </c>
      <c r="C32" s="3">
        <f t="shared" ca="1" si="1"/>
        <v>23</v>
      </c>
      <c r="D32" s="3">
        <f t="shared" ca="1" si="7"/>
        <v>269</v>
      </c>
      <c r="E32" s="3">
        <f t="shared" ca="1" si="2"/>
        <v>4.7409147957765962E-2</v>
      </c>
      <c r="F32" s="3">
        <f t="shared" ca="1" si="3"/>
        <v>1</v>
      </c>
      <c r="G32" s="3">
        <f t="shared" ca="1" si="8"/>
        <v>269</v>
      </c>
      <c r="H32" s="3">
        <f t="shared" ca="1" si="4"/>
        <v>270</v>
      </c>
      <c r="I32" s="3">
        <f t="shared" ca="1" si="5"/>
        <v>1</v>
      </c>
      <c r="J32" s="3">
        <f t="shared" ca="1" si="6"/>
        <v>0</v>
      </c>
      <c r="K32" s="3">
        <f t="shared" ca="1" si="9"/>
        <v>20</v>
      </c>
    </row>
    <row r="33" spans="1:11" x14ac:dyDescent="0.45">
      <c r="A33">
        <v>32</v>
      </c>
      <c r="B33" s="2">
        <f t="shared" ca="1" si="0"/>
        <v>0.22873005316667994</v>
      </c>
      <c r="C33" s="3">
        <f t="shared" ca="1" si="1"/>
        <v>3</v>
      </c>
      <c r="D33" s="3">
        <f t="shared" ca="1" si="7"/>
        <v>272</v>
      </c>
      <c r="E33" s="3">
        <f t="shared" ca="1" si="2"/>
        <v>0.34986702644152978</v>
      </c>
      <c r="F33" s="3">
        <f t="shared" ca="1" si="3"/>
        <v>3</v>
      </c>
      <c r="G33" s="3">
        <f t="shared" ca="1" si="8"/>
        <v>272</v>
      </c>
      <c r="H33" s="3">
        <f t="shared" ca="1" si="4"/>
        <v>275</v>
      </c>
      <c r="I33" s="3">
        <f t="shared" ca="1" si="5"/>
        <v>3</v>
      </c>
      <c r="J33" s="3">
        <f t="shared" ca="1" si="6"/>
        <v>0</v>
      </c>
      <c r="K33" s="3">
        <f t="shared" ca="1" si="9"/>
        <v>2</v>
      </c>
    </row>
    <row r="34" spans="1:11" x14ac:dyDescent="0.45">
      <c r="A34">
        <v>33</v>
      </c>
      <c r="B34" s="2">
        <f t="shared" ref="B34:B51" ca="1" si="10">RAND()</f>
        <v>0.47851911590142249</v>
      </c>
      <c r="C34" s="3">
        <f t="shared" ref="C34:C65" ca="1" si="11">ROUND(-LN(1-B34)/0.1, 0)</f>
        <v>7</v>
      </c>
      <c r="D34" s="3">
        <f t="shared" ca="1" si="7"/>
        <v>279</v>
      </c>
      <c r="E34" s="3">
        <f t="shared" ref="E34:E51" ca="1" si="12">RAND()</f>
        <v>0.5184685406934868</v>
      </c>
      <c r="F34" s="3">
        <f t="shared" ref="F34:F65" ca="1" si="13">ROUND(1 + (6-1)*E34, 0)</f>
        <v>4</v>
      </c>
      <c r="G34" s="3">
        <f t="shared" ca="1" si="8"/>
        <v>279</v>
      </c>
      <c r="H34" s="3">
        <f t="shared" ref="H34:H65" ca="1" si="14">ROUND(G34+F34, 0)</f>
        <v>283</v>
      </c>
      <c r="I34" s="3">
        <f t="shared" ref="I34:I65" ca="1" si="15">ROUND(H34-D34, 0)</f>
        <v>4</v>
      </c>
      <c r="J34" s="3">
        <f t="shared" ref="J34:J51" ca="1" si="16">ROUND(G34-D34, 0)</f>
        <v>0</v>
      </c>
      <c r="K34" s="3">
        <f t="shared" ca="1" si="9"/>
        <v>4</v>
      </c>
    </row>
    <row r="35" spans="1:11" x14ac:dyDescent="0.45">
      <c r="A35">
        <v>34</v>
      </c>
      <c r="B35" s="2">
        <f t="shared" ca="1" si="10"/>
        <v>0.46121810063997892</v>
      </c>
      <c r="C35" s="3">
        <f t="shared" ca="1" si="11"/>
        <v>6</v>
      </c>
      <c r="D35" s="3">
        <f t="shared" ref="D35:D66" ca="1" si="17">ROUND(D34+C35, 0)</f>
        <v>285</v>
      </c>
      <c r="E35" s="3">
        <f t="shared" ca="1" si="12"/>
        <v>0.63405398824495585</v>
      </c>
      <c r="F35" s="3">
        <f t="shared" ca="1" si="13"/>
        <v>4</v>
      </c>
      <c r="G35" s="3">
        <f t="shared" ref="G35:G51" ca="1" si="18">ROUND(MAX(D35, H34), 0)</f>
        <v>285</v>
      </c>
      <c r="H35" s="3">
        <f t="shared" ca="1" si="14"/>
        <v>289</v>
      </c>
      <c r="I35" s="3">
        <f t="shared" ca="1" si="15"/>
        <v>4</v>
      </c>
      <c r="J35" s="3">
        <f t="shared" ca="1" si="16"/>
        <v>0</v>
      </c>
      <c r="K35" s="3">
        <f t="shared" ref="K35:K51" ca="1" si="19">ROUND(MAX(0, G35-H34), 0)</f>
        <v>2</v>
      </c>
    </row>
    <row r="36" spans="1:11" x14ac:dyDescent="0.45">
      <c r="A36">
        <v>35</v>
      </c>
      <c r="B36" s="2">
        <f t="shared" ca="1" si="10"/>
        <v>0.47169946444181732</v>
      </c>
      <c r="C36" s="3">
        <f t="shared" ca="1" si="11"/>
        <v>6</v>
      </c>
      <c r="D36" s="3">
        <f t="shared" ca="1" si="17"/>
        <v>291</v>
      </c>
      <c r="E36" s="3">
        <f t="shared" ca="1" si="12"/>
        <v>0.74397964410990169</v>
      </c>
      <c r="F36" s="3">
        <f t="shared" ca="1" si="13"/>
        <v>5</v>
      </c>
      <c r="G36" s="3">
        <f t="shared" ca="1" si="18"/>
        <v>291</v>
      </c>
      <c r="H36" s="3">
        <f t="shared" ca="1" si="14"/>
        <v>296</v>
      </c>
      <c r="I36" s="3">
        <f t="shared" ca="1" si="15"/>
        <v>5</v>
      </c>
      <c r="J36" s="3">
        <f t="shared" ca="1" si="16"/>
        <v>0</v>
      </c>
      <c r="K36" s="3">
        <f t="shared" ca="1" si="19"/>
        <v>2</v>
      </c>
    </row>
    <row r="37" spans="1:11" x14ac:dyDescent="0.45">
      <c r="A37">
        <v>36</v>
      </c>
      <c r="B37" s="2">
        <f t="shared" ca="1" si="10"/>
        <v>0.14505523117094099</v>
      </c>
      <c r="C37" s="3">
        <f t="shared" ca="1" si="11"/>
        <v>2</v>
      </c>
      <c r="D37" s="3">
        <f t="shared" ca="1" si="17"/>
        <v>293</v>
      </c>
      <c r="E37" s="3">
        <f t="shared" ca="1" si="12"/>
        <v>0.10637244755327646</v>
      </c>
      <c r="F37" s="3">
        <f t="shared" ca="1" si="13"/>
        <v>2</v>
      </c>
      <c r="G37" s="3">
        <f t="shared" ca="1" si="18"/>
        <v>296</v>
      </c>
      <c r="H37" s="3">
        <f t="shared" ca="1" si="14"/>
        <v>298</v>
      </c>
      <c r="I37" s="3">
        <f t="shared" ca="1" si="15"/>
        <v>5</v>
      </c>
      <c r="J37" s="3">
        <f t="shared" ca="1" si="16"/>
        <v>3</v>
      </c>
      <c r="K37" s="3">
        <f t="shared" ca="1" si="19"/>
        <v>0</v>
      </c>
    </row>
    <row r="38" spans="1:11" x14ac:dyDescent="0.45">
      <c r="A38">
        <v>37</v>
      </c>
      <c r="B38" s="2">
        <f t="shared" ca="1" si="10"/>
        <v>0.12171588339411876</v>
      </c>
      <c r="C38" s="3">
        <f t="shared" ca="1" si="11"/>
        <v>1</v>
      </c>
      <c r="D38" s="3">
        <f t="shared" ca="1" si="17"/>
        <v>294</v>
      </c>
      <c r="E38" s="3">
        <f t="shared" ca="1" si="12"/>
        <v>0.10449969908121459</v>
      </c>
      <c r="F38" s="3">
        <f t="shared" ca="1" si="13"/>
        <v>2</v>
      </c>
      <c r="G38" s="3">
        <f t="shared" ca="1" si="18"/>
        <v>298</v>
      </c>
      <c r="H38" s="3">
        <f t="shared" ca="1" si="14"/>
        <v>300</v>
      </c>
      <c r="I38" s="3">
        <f t="shared" ca="1" si="15"/>
        <v>6</v>
      </c>
      <c r="J38" s="3">
        <f t="shared" ca="1" si="16"/>
        <v>4</v>
      </c>
      <c r="K38" s="3">
        <f t="shared" ca="1" si="19"/>
        <v>0</v>
      </c>
    </row>
    <row r="39" spans="1:11" x14ac:dyDescent="0.45">
      <c r="A39">
        <v>38</v>
      </c>
      <c r="B39" s="2">
        <f t="shared" ca="1" si="10"/>
        <v>0.20218108584210948</v>
      </c>
      <c r="C39" s="3">
        <f t="shared" ca="1" si="11"/>
        <v>2</v>
      </c>
      <c r="D39" s="3">
        <f t="shared" ca="1" si="17"/>
        <v>296</v>
      </c>
      <c r="E39" s="3">
        <f t="shared" ca="1" si="12"/>
        <v>0.86410015209784463</v>
      </c>
      <c r="F39" s="3">
        <f t="shared" ca="1" si="13"/>
        <v>5</v>
      </c>
      <c r="G39" s="3">
        <f t="shared" ca="1" si="18"/>
        <v>300</v>
      </c>
      <c r="H39" s="3">
        <f t="shared" ca="1" si="14"/>
        <v>305</v>
      </c>
      <c r="I39" s="3">
        <f t="shared" ca="1" si="15"/>
        <v>9</v>
      </c>
      <c r="J39" s="3">
        <f t="shared" ca="1" si="16"/>
        <v>4</v>
      </c>
      <c r="K39" s="3">
        <f t="shared" ca="1" si="19"/>
        <v>0</v>
      </c>
    </row>
    <row r="40" spans="1:11" x14ac:dyDescent="0.45">
      <c r="A40">
        <v>39</v>
      </c>
      <c r="B40" s="2">
        <f t="shared" ca="1" si="10"/>
        <v>0.94674625076462027</v>
      </c>
      <c r="C40" s="3">
        <f t="shared" ca="1" si="11"/>
        <v>29</v>
      </c>
      <c r="D40" s="3">
        <f t="shared" ca="1" si="17"/>
        <v>325</v>
      </c>
      <c r="E40" s="3">
        <f t="shared" ca="1" si="12"/>
        <v>0.99738545939546719</v>
      </c>
      <c r="F40" s="3">
        <f t="shared" ca="1" si="13"/>
        <v>6</v>
      </c>
      <c r="G40" s="3">
        <f t="shared" ca="1" si="18"/>
        <v>325</v>
      </c>
      <c r="H40" s="3">
        <f t="shared" ca="1" si="14"/>
        <v>331</v>
      </c>
      <c r="I40" s="3">
        <f t="shared" ca="1" si="15"/>
        <v>6</v>
      </c>
      <c r="J40" s="3">
        <f t="shared" ca="1" si="16"/>
        <v>0</v>
      </c>
      <c r="K40" s="3">
        <f t="shared" ca="1" si="19"/>
        <v>20</v>
      </c>
    </row>
    <row r="41" spans="1:11" x14ac:dyDescent="0.45">
      <c r="A41">
        <v>40</v>
      </c>
      <c r="B41" s="2">
        <f t="shared" ca="1" si="10"/>
        <v>0.17465759972717432</v>
      </c>
      <c r="C41" s="3">
        <f t="shared" ca="1" si="11"/>
        <v>2</v>
      </c>
      <c r="D41" s="3">
        <f t="shared" ca="1" si="17"/>
        <v>327</v>
      </c>
      <c r="E41" s="3">
        <f t="shared" ca="1" si="12"/>
        <v>0.58553062920399213</v>
      </c>
      <c r="F41" s="3">
        <f t="shared" ca="1" si="13"/>
        <v>4</v>
      </c>
      <c r="G41" s="3">
        <f t="shared" ca="1" si="18"/>
        <v>331</v>
      </c>
      <c r="H41" s="3">
        <f t="shared" ca="1" si="14"/>
        <v>335</v>
      </c>
      <c r="I41" s="3">
        <f t="shared" ca="1" si="15"/>
        <v>8</v>
      </c>
      <c r="J41" s="3">
        <f t="shared" ca="1" si="16"/>
        <v>4</v>
      </c>
      <c r="K41" s="3">
        <f t="shared" ca="1" si="19"/>
        <v>0</v>
      </c>
    </row>
    <row r="42" spans="1:11" x14ac:dyDescent="0.45">
      <c r="A42">
        <v>41</v>
      </c>
      <c r="B42" s="2">
        <f t="shared" ca="1" si="10"/>
        <v>3.5281576782542401E-2</v>
      </c>
      <c r="C42" s="3">
        <f t="shared" ca="1" si="11"/>
        <v>0</v>
      </c>
      <c r="D42" s="3">
        <f t="shared" ca="1" si="17"/>
        <v>327</v>
      </c>
      <c r="E42" s="3">
        <f t="shared" ca="1" si="12"/>
        <v>0.4559411436634091</v>
      </c>
      <c r="F42" s="3">
        <f t="shared" ca="1" si="13"/>
        <v>3</v>
      </c>
      <c r="G42" s="3">
        <f t="shared" ca="1" si="18"/>
        <v>335</v>
      </c>
      <c r="H42" s="3">
        <f t="shared" ca="1" si="14"/>
        <v>338</v>
      </c>
      <c r="I42" s="3">
        <f t="shared" ca="1" si="15"/>
        <v>11</v>
      </c>
      <c r="J42" s="3">
        <f t="shared" ca="1" si="16"/>
        <v>8</v>
      </c>
      <c r="K42" s="3">
        <f t="shared" ca="1" si="19"/>
        <v>0</v>
      </c>
    </row>
    <row r="43" spans="1:11" x14ac:dyDescent="0.45">
      <c r="A43">
        <v>42</v>
      </c>
      <c r="B43" s="2">
        <f t="shared" ca="1" si="10"/>
        <v>0.64368011686015725</v>
      </c>
      <c r="C43" s="3">
        <f t="shared" ca="1" si="11"/>
        <v>10</v>
      </c>
      <c r="D43" s="3">
        <f t="shared" ca="1" si="17"/>
        <v>337</v>
      </c>
      <c r="E43" s="3">
        <f t="shared" ca="1" si="12"/>
        <v>0.73827565760817371</v>
      </c>
      <c r="F43" s="3">
        <f t="shared" ca="1" si="13"/>
        <v>5</v>
      </c>
      <c r="G43" s="3">
        <f t="shared" ca="1" si="18"/>
        <v>338</v>
      </c>
      <c r="H43" s="3">
        <f t="shared" ca="1" si="14"/>
        <v>343</v>
      </c>
      <c r="I43" s="3">
        <f t="shared" ca="1" si="15"/>
        <v>6</v>
      </c>
      <c r="J43" s="3">
        <f t="shared" ca="1" si="16"/>
        <v>1</v>
      </c>
      <c r="K43" s="3">
        <f t="shared" ca="1" si="19"/>
        <v>0</v>
      </c>
    </row>
    <row r="44" spans="1:11" x14ac:dyDescent="0.45">
      <c r="A44">
        <v>43</v>
      </c>
      <c r="B44" s="2">
        <f t="shared" ca="1" si="10"/>
        <v>0.33184559645805145</v>
      </c>
      <c r="C44" s="3">
        <f t="shared" ca="1" si="11"/>
        <v>4</v>
      </c>
      <c r="D44" s="3">
        <f t="shared" ca="1" si="17"/>
        <v>341</v>
      </c>
      <c r="E44" s="3">
        <f t="shared" ca="1" si="12"/>
        <v>0.3142974899891301</v>
      </c>
      <c r="F44" s="3">
        <f t="shared" ca="1" si="13"/>
        <v>3</v>
      </c>
      <c r="G44" s="3">
        <f t="shared" ca="1" si="18"/>
        <v>343</v>
      </c>
      <c r="H44" s="3">
        <f t="shared" ca="1" si="14"/>
        <v>346</v>
      </c>
      <c r="I44" s="3">
        <f t="shared" ca="1" si="15"/>
        <v>5</v>
      </c>
      <c r="J44" s="3">
        <f t="shared" ca="1" si="16"/>
        <v>2</v>
      </c>
      <c r="K44" s="3">
        <f t="shared" ca="1" si="19"/>
        <v>0</v>
      </c>
    </row>
    <row r="45" spans="1:11" x14ac:dyDescent="0.45">
      <c r="A45">
        <v>44</v>
      </c>
      <c r="B45" s="2">
        <f t="shared" ca="1" si="10"/>
        <v>0.92632670375793369</v>
      </c>
      <c r="C45" s="3">
        <f t="shared" ca="1" si="11"/>
        <v>26</v>
      </c>
      <c r="D45" s="3">
        <f t="shared" ca="1" si="17"/>
        <v>367</v>
      </c>
      <c r="E45" s="3">
        <f t="shared" ca="1" si="12"/>
        <v>0.29789199591169491</v>
      </c>
      <c r="F45" s="3">
        <f t="shared" ca="1" si="13"/>
        <v>2</v>
      </c>
      <c r="G45" s="3">
        <f t="shared" ca="1" si="18"/>
        <v>367</v>
      </c>
      <c r="H45" s="3">
        <f t="shared" ca="1" si="14"/>
        <v>369</v>
      </c>
      <c r="I45" s="3">
        <f t="shared" ca="1" si="15"/>
        <v>2</v>
      </c>
      <c r="J45" s="3">
        <f t="shared" ca="1" si="16"/>
        <v>0</v>
      </c>
      <c r="K45" s="3">
        <f t="shared" ca="1" si="19"/>
        <v>21</v>
      </c>
    </row>
    <row r="46" spans="1:11" x14ac:dyDescent="0.45">
      <c r="A46">
        <v>45</v>
      </c>
      <c r="B46" s="2">
        <f t="shared" ca="1" si="10"/>
        <v>8.3640747952690608E-2</v>
      </c>
      <c r="C46" s="3">
        <f t="shared" ca="1" si="11"/>
        <v>1</v>
      </c>
      <c r="D46" s="3">
        <f t="shared" ca="1" si="17"/>
        <v>368</v>
      </c>
      <c r="E46" s="3">
        <f t="shared" ca="1" si="12"/>
        <v>0.59523981646852575</v>
      </c>
      <c r="F46" s="3">
        <f t="shared" ca="1" si="13"/>
        <v>4</v>
      </c>
      <c r="G46" s="3">
        <f t="shared" ca="1" si="18"/>
        <v>369</v>
      </c>
      <c r="H46" s="3">
        <f t="shared" ca="1" si="14"/>
        <v>373</v>
      </c>
      <c r="I46" s="3">
        <f t="shared" ca="1" si="15"/>
        <v>5</v>
      </c>
      <c r="J46" s="3">
        <f t="shared" ca="1" si="16"/>
        <v>1</v>
      </c>
      <c r="K46" s="3">
        <f t="shared" ca="1" si="19"/>
        <v>0</v>
      </c>
    </row>
    <row r="47" spans="1:11" x14ac:dyDescent="0.45">
      <c r="A47">
        <v>46</v>
      </c>
      <c r="B47" s="2">
        <f t="shared" ca="1" si="10"/>
        <v>0.71556821086394606</v>
      </c>
      <c r="C47" s="3">
        <f t="shared" ca="1" si="11"/>
        <v>13</v>
      </c>
      <c r="D47" s="3">
        <f t="shared" ca="1" si="17"/>
        <v>381</v>
      </c>
      <c r="E47" s="3">
        <f t="shared" ca="1" si="12"/>
        <v>0.79984655322842924</v>
      </c>
      <c r="F47" s="3">
        <f t="shared" ca="1" si="13"/>
        <v>5</v>
      </c>
      <c r="G47" s="3">
        <f t="shared" ca="1" si="18"/>
        <v>381</v>
      </c>
      <c r="H47" s="3">
        <f t="shared" ca="1" si="14"/>
        <v>386</v>
      </c>
      <c r="I47" s="3">
        <f t="shared" ca="1" si="15"/>
        <v>5</v>
      </c>
      <c r="J47" s="3">
        <f t="shared" ca="1" si="16"/>
        <v>0</v>
      </c>
      <c r="K47" s="3">
        <f t="shared" ca="1" si="19"/>
        <v>8</v>
      </c>
    </row>
    <row r="48" spans="1:11" x14ac:dyDescent="0.45">
      <c r="A48">
        <v>47</v>
      </c>
      <c r="B48" s="2">
        <f t="shared" ca="1" si="10"/>
        <v>0.42416115693603673</v>
      </c>
      <c r="C48" s="3">
        <f t="shared" ca="1" si="11"/>
        <v>6</v>
      </c>
      <c r="D48" s="3">
        <f t="shared" ca="1" si="17"/>
        <v>387</v>
      </c>
      <c r="E48" s="3">
        <f t="shared" ca="1" si="12"/>
        <v>0.59381136477528418</v>
      </c>
      <c r="F48" s="3">
        <f t="shared" ca="1" si="13"/>
        <v>4</v>
      </c>
      <c r="G48" s="3">
        <f t="shared" ca="1" si="18"/>
        <v>387</v>
      </c>
      <c r="H48" s="3">
        <f t="shared" ca="1" si="14"/>
        <v>391</v>
      </c>
      <c r="I48" s="3">
        <f t="shared" ca="1" si="15"/>
        <v>4</v>
      </c>
      <c r="J48" s="3">
        <f t="shared" ca="1" si="16"/>
        <v>0</v>
      </c>
      <c r="K48" s="3">
        <f t="shared" ca="1" si="19"/>
        <v>1</v>
      </c>
    </row>
    <row r="49" spans="1:11" x14ac:dyDescent="0.45">
      <c r="A49">
        <v>48</v>
      </c>
      <c r="B49" s="2">
        <f t="shared" ca="1" si="10"/>
        <v>0.28337912695420697</v>
      </c>
      <c r="C49" s="3">
        <f t="shared" ca="1" si="11"/>
        <v>3</v>
      </c>
      <c r="D49" s="3">
        <f t="shared" ca="1" si="17"/>
        <v>390</v>
      </c>
      <c r="E49" s="3">
        <f t="shared" ca="1" si="12"/>
        <v>0.47476599717666323</v>
      </c>
      <c r="F49" s="3">
        <f t="shared" ca="1" si="13"/>
        <v>3</v>
      </c>
      <c r="G49" s="3">
        <f t="shared" ca="1" si="18"/>
        <v>391</v>
      </c>
      <c r="H49" s="3">
        <f t="shared" ca="1" si="14"/>
        <v>394</v>
      </c>
      <c r="I49" s="3">
        <f t="shared" ca="1" si="15"/>
        <v>4</v>
      </c>
      <c r="J49" s="3">
        <f t="shared" ca="1" si="16"/>
        <v>1</v>
      </c>
      <c r="K49" s="3">
        <f t="shared" ca="1" si="19"/>
        <v>0</v>
      </c>
    </row>
    <row r="50" spans="1:11" x14ac:dyDescent="0.45">
      <c r="A50">
        <v>49</v>
      </c>
      <c r="B50" s="2">
        <f t="shared" ca="1" si="10"/>
        <v>0.65554459790464437</v>
      </c>
      <c r="C50" s="3">
        <f t="shared" ca="1" si="11"/>
        <v>11</v>
      </c>
      <c r="D50" s="3">
        <f t="shared" ca="1" si="17"/>
        <v>401</v>
      </c>
      <c r="E50" s="3">
        <f t="shared" ca="1" si="12"/>
        <v>0.20854022684536133</v>
      </c>
      <c r="F50" s="3">
        <f t="shared" ca="1" si="13"/>
        <v>2</v>
      </c>
      <c r="G50" s="3">
        <f t="shared" ca="1" si="18"/>
        <v>401</v>
      </c>
      <c r="H50" s="3">
        <f t="shared" ca="1" si="14"/>
        <v>403</v>
      </c>
      <c r="I50" s="3">
        <f t="shared" ca="1" si="15"/>
        <v>2</v>
      </c>
      <c r="J50" s="3">
        <f t="shared" ca="1" si="16"/>
        <v>0</v>
      </c>
      <c r="K50" s="3">
        <f t="shared" ca="1" si="19"/>
        <v>7</v>
      </c>
    </row>
    <row r="51" spans="1:11" x14ac:dyDescent="0.45">
      <c r="A51">
        <v>50</v>
      </c>
      <c r="B51" s="2">
        <f t="shared" ca="1" si="10"/>
        <v>0.16673778792534033</v>
      </c>
      <c r="C51" s="3">
        <f t="shared" ca="1" si="11"/>
        <v>2</v>
      </c>
      <c r="D51" s="3">
        <f t="shared" ca="1" si="17"/>
        <v>403</v>
      </c>
      <c r="E51" s="3">
        <f t="shared" ca="1" si="12"/>
        <v>0.54517775176110317</v>
      </c>
      <c r="F51" s="3">
        <f t="shared" ca="1" si="13"/>
        <v>4</v>
      </c>
      <c r="G51" s="3">
        <f t="shared" ca="1" si="18"/>
        <v>403</v>
      </c>
      <c r="H51" s="3">
        <f t="shared" ca="1" si="14"/>
        <v>407</v>
      </c>
      <c r="I51" s="3">
        <f t="shared" ca="1" si="15"/>
        <v>4</v>
      </c>
      <c r="J51" s="3">
        <f t="shared" ca="1" si="16"/>
        <v>0</v>
      </c>
      <c r="K51" s="3">
        <f t="shared" ca="1" si="19"/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1"/>
  <sheetViews>
    <sheetView workbookViewId="0">
      <selection activeCell="D12" sqref="D12"/>
    </sheetView>
  </sheetViews>
  <sheetFormatPr baseColWidth="10" defaultColWidth="9.06640625" defaultRowHeight="14.25" x14ac:dyDescent="0.45"/>
  <cols>
    <col min="1" max="1" width="9" customWidth="1"/>
    <col min="2" max="2" width="18" customWidth="1"/>
    <col min="3" max="3" width="29" customWidth="1"/>
    <col min="4" max="4" width="19" customWidth="1"/>
    <col min="5" max="5" width="20" customWidth="1"/>
    <col min="6" max="6" width="31" customWidth="1"/>
    <col min="7" max="7" width="20" customWidth="1"/>
    <col min="8" max="8" width="17" customWidth="1"/>
    <col min="9" max="9" width="25" customWidth="1"/>
    <col min="10" max="10" width="24" customWidth="1"/>
    <col min="11" max="11" width="32" customWidth="1"/>
  </cols>
  <sheetData>
    <row r="1" spans="1:1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5">
      <c r="A2">
        <v>1</v>
      </c>
      <c r="B2" s="2">
        <f t="shared" ref="B2:B33" ca="1" si="0">RAND()</f>
        <v>0.52382687002774575</v>
      </c>
      <c r="C2" s="3">
        <f t="shared" ref="C2:C33" ca="1" si="1">ROUND(1 + (10-1)*B2, 0)</f>
        <v>6</v>
      </c>
      <c r="D2" s="3">
        <f ca="1">ROUND(C2, 0)</f>
        <v>6</v>
      </c>
      <c r="E2" s="3">
        <f t="shared" ref="E2:E33" ca="1" si="2">RAND()</f>
        <v>0.1198467777232628</v>
      </c>
      <c r="F2" s="3">
        <f t="shared" ref="F2:F33" ca="1" si="3">ROUND(MAX(0.1, NORMINV(E2, 3, 3)), 0)</f>
        <v>0</v>
      </c>
      <c r="G2" s="3">
        <f ca="1">ROUND(D2, 0)</f>
        <v>6</v>
      </c>
      <c r="H2" s="3">
        <f t="shared" ref="H2:H33" ca="1" si="4">ROUND(G2+F2, 0)</f>
        <v>6</v>
      </c>
      <c r="I2" s="3">
        <f t="shared" ref="I2:I33" ca="1" si="5">ROUND(H2-D2, 0)</f>
        <v>0</v>
      </c>
      <c r="J2" s="3">
        <f t="shared" ref="J2:J33" ca="1" si="6">ROUND(G2-D2, 0)</f>
        <v>0</v>
      </c>
      <c r="K2" s="3">
        <f ca="1">ROUND(D2, 0)</f>
        <v>6</v>
      </c>
    </row>
    <row r="3" spans="1:11" x14ac:dyDescent="0.45">
      <c r="A3">
        <v>2</v>
      </c>
      <c r="B3" s="2">
        <f t="shared" ca="1" si="0"/>
        <v>0.11563662764102134</v>
      </c>
      <c r="C3" s="3">
        <f t="shared" ca="1" si="1"/>
        <v>2</v>
      </c>
      <c r="D3" s="3">
        <f t="shared" ref="D3:D34" ca="1" si="7">ROUND(D2+C3, 0)</f>
        <v>8</v>
      </c>
      <c r="E3" s="3">
        <f t="shared" ca="1" si="2"/>
        <v>0.42342915044083418</v>
      </c>
      <c r="F3" s="3">
        <f t="shared" ca="1" si="3"/>
        <v>2</v>
      </c>
      <c r="G3" s="3">
        <f t="shared" ref="G3:G34" ca="1" si="8">ROUND(MAX(D3, H2), 0)</f>
        <v>8</v>
      </c>
      <c r="H3" s="3">
        <f t="shared" ca="1" si="4"/>
        <v>10</v>
      </c>
      <c r="I3" s="3">
        <f t="shared" ca="1" si="5"/>
        <v>2</v>
      </c>
      <c r="J3" s="3">
        <f t="shared" ca="1" si="6"/>
        <v>0</v>
      </c>
      <c r="K3" s="3">
        <f t="shared" ref="K3:K34" ca="1" si="9">ROUND(MAX(0, G3-H2), 0)</f>
        <v>2</v>
      </c>
    </row>
    <row r="4" spans="1:11" x14ac:dyDescent="0.45">
      <c r="A4">
        <v>3</v>
      </c>
      <c r="B4" s="2">
        <f t="shared" ca="1" si="0"/>
        <v>0.91632030396956532</v>
      </c>
      <c r="C4" s="3">
        <f t="shared" ca="1" si="1"/>
        <v>9</v>
      </c>
      <c r="D4" s="3">
        <f t="shared" ca="1" si="7"/>
        <v>17</v>
      </c>
      <c r="E4" s="3">
        <f t="shared" ca="1" si="2"/>
        <v>0.36439012024996642</v>
      </c>
      <c r="F4" s="3">
        <f t="shared" ca="1" si="3"/>
        <v>2</v>
      </c>
      <c r="G4" s="3">
        <f t="shared" ca="1" si="8"/>
        <v>17</v>
      </c>
      <c r="H4" s="3">
        <f t="shared" ca="1" si="4"/>
        <v>19</v>
      </c>
      <c r="I4" s="3">
        <f t="shared" ca="1" si="5"/>
        <v>2</v>
      </c>
      <c r="J4" s="3">
        <f t="shared" ca="1" si="6"/>
        <v>0</v>
      </c>
      <c r="K4" s="3">
        <f t="shared" ca="1" si="9"/>
        <v>7</v>
      </c>
    </row>
    <row r="5" spans="1:11" x14ac:dyDescent="0.45">
      <c r="A5">
        <v>4</v>
      </c>
      <c r="B5" s="2">
        <f t="shared" ca="1" si="0"/>
        <v>2.5164620264332971E-3</v>
      </c>
      <c r="C5" s="3">
        <f t="shared" ca="1" si="1"/>
        <v>1</v>
      </c>
      <c r="D5" s="3">
        <f t="shared" ca="1" si="7"/>
        <v>18</v>
      </c>
      <c r="E5" s="3">
        <f t="shared" ca="1" si="2"/>
        <v>0.23850217080926917</v>
      </c>
      <c r="F5" s="3">
        <f t="shared" ca="1" si="3"/>
        <v>1</v>
      </c>
      <c r="G5" s="3">
        <f t="shared" ca="1" si="8"/>
        <v>19</v>
      </c>
      <c r="H5" s="3">
        <f t="shared" ca="1" si="4"/>
        <v>20</v>
      </c>
      <c r="I5" s="3">
        <f t="shared" ca="1" si="5"/>
        <v>2</v>
      </c>
      <c r="J5" s="3">
        <f t="shared" ca="1" si="6"/>
        <v>1</v>
      </c>
      <c r="K5" s="3">
        <f t="shared" ca="1" si="9"/>
        <v>0</v>
      </c>
    </row>
    <row r="6" spans="1:11" x14ac:dyDescent="0.45">
      <c r="A6">
        <v>5</v>
      </c>
      <c r="B6" s="2">
        <f t="shared" ca="1" si="0"/>
        <v>0.5067922104325352</v>
      </c>
      <c r="C6" s="3">
        <f t="shared" ca="1" si="1"/>
        <v>6</v>
      </c>
      <c r="D6" s="3">
        <f t="shared" ca="1" si="7"/>
        <v>24</v>
      </c>
      <c r="E6" s="3">
        <f t="shared" ca="1" si="2"/>
        <v>0.2690812865420722</v>
      </c>
      <c r="F6" s="3">
        <f t="shared" ca="1" si="3"/>
        <v>1</v>
      </c>
      <c r="G6" s="3">
        <f t="shared" ca="1" si="8"/>
        <v>24</v>
      </c>
      <c r="H6" s="3">
        <f t="shared" ca="1" si="4"/>
        <v>25</v>
      </c>
      <c r="I6" s="3">
        <f t="shared" ca="1" si="5"/>
        <v>1</v>
      </c>
      <c r="J6" s="3">
        <f t="shared" ca="1" si="6"/>
        <v>0</v>
      </c>
      <c r="K6" s="3">
        <f t="shared" ca="1" si="9"/>
        <v>4</v>
      </c>
    </row>
    <row r="7" spans="1:11" x14ac:dyDescent="0.45">
      <c r="A7">
        <v>6</v>
      </c>
      <c r="B7" s="2">
        <f t="shared" ca="1" si="0"/>
        <v>0.46239736821791522</v>
      </c>
      <c r="C7" s="3">
        <f t="shared" ca="1" si="1"/>
        <v>5</v>
      </c>
      <c r="D7" s="3">
        <f t="shared" ca="1" si="7"/>
        <v>29</v>
      </c>
      <c r="E7" s="3">
        <f t="shared" ca="1" si="2"/>
        <v>0.88734615162537234</v>
      </c>
      <c r="F7" s="3">
        <f t="shared" ca="1" si="3"/>
        <v>7</v>
      </c>
      <c r="G7" s="3">
        <f t="shared" ca="1" si="8"/>
        <v>29</v>
      </c>
      <c r="H7" s="3">
        <f t="shared" ca="1" si="4"/>
        <v>36</v>
      </c>
      <c r="I7" s="3">
        <f t="shared" ca="1" si="5"/>
        <v>7</v>
      </c>
      <c r="J7" s="3">
        <f t="shared" ca="1" si="6"/>
        <v>0</v>
      </c>
      <c r="K7" s="3">
        <f t="shared" ca="1" si="9"/>
        <v>4</v>
      </c>
    </row>
    <row r="8" spans="1:11" x14ac:dyDescent="0.45">
      <c r="A8">
        <v>7</v>
      </c>
      <c r="B8" s="2">
        <f t="shared" ca="1" si="0"/>
        <v>0.13396284300543504</v>
      </c>
      <c r="C8" s="3">
        <f t="shared" ca="1" si="1"/>
        <v>2</v>
      </c>
      <c r="D8" s="3">
        <f t="shared" ca="1" si="7"/>
        <v>31</v>
      </c>
      <c r="E8" s="3">
        <f t="shared" ca="1" si="2"/>
        <v>0.90089608415307798</v>
      </c>
      <c r="F8" s="3">
        <f t="shared" ca="1" si="3"/>
        <v>7</v>
      </c>
      <c r="G8" s="3">
        <f t="shared" ca="1" si="8"/>
        <v>36</v>
      </c>
      <c r="H8" s="3">
        <f t="shared" ca="1" si="4"/>
        <v>43</v>
      </c>
      <c r="I8" s="3">
        <f t="shared" ca="1" si="5"/>
        <v>12</v>
      </c>
      <c r="J8" s="3">
        <f t="shared" ca="1" si="6"/>
        <v>5</v>
      </c>
      <c r="K8" s="3">
        <f t="shared" ca="1" si="9"/>
        <v>0</v>
      </c>
    </row>
    <row r="9" spans="1:11" x14ac:dyDescent="0.45">
      <c r="A9">
        <v>8</v>
      </c>
      <c r="B9" s="2">
        <f t="shared" ca="1" si="0"/>
        <v>0.22424775389942886</v>
      </c>
      <c r="C9" s="3">
        <f t="shared" ca="1" si="1"/>
        <v>3</v>
      </c>
      <c r="D9" s="3">
        <f t="shared" ca="1" si="7"/>
        <v>34</v>
      </c>
      <c r="E9" s="3">
        <f t="shared" ca="1" si="2"/>
        <v>0.50891913663094535</v>
      </c>
      <c r="F9" s="3">
        <f t="shared" ca="1" si="3"/>
        <v>3</v>
      </c>
      <c r="G9" s="3">
        <f t="shared" ca="1" si="8"/>
        <v>43</v>
      </c>
      <c r="H9" s="3">
        <f t="shared" ca="1" si="4"/>
        <v>46</v>
      </c>
      <c r="I9" s="3">
        <f t="shared" ca="1" si="5"/>
        <v>12</v>
      </c>
      <c r="J9" s="3">
        <f t="shared" ca="1" si="6"/>
        <v>9</v>
      </c>
      <c r="K9" s="3">
        <f t="shared" ca="1" si="9"/>
        <v>0</v>
      </c>
    </row>
    <row r="10" spans="1:11" x14ac:dyDescent="0.45">
      <c r="A10">
        <v>9</v>
      </c>
      <c r="B10" s="2">
        <f t="shared" ca="1" si="0"/>
        <v>0.44417786105799117</v>
      </c>
      <c r="C10" s="3">
        <f t="shared" ca="1" si="1"/>
        <v>5</v>
      </c>
      <c r="D10" s="3">
        <f t="shared" ca="1" si="7"/>
        <v>39</v>
      </c>
      <c r="E10" s="3">
        <f t="shared" ca="1" si="2"/>
        <v>0.20720875492082669</v>
      </c>
      <c r="F10" s="3">
        <f t="shared" ca="1" si="3"/>
        <v>1</v>
      </c>
      <c r="G10" s="3">
        <f t="shared" ca="1" si="8"/>
        <v>46</v>
      </c>
      <c r="H10" s="3">
        <f t="shared" ca="1" si="4"/>
        <v>47</v>
      </c>
      <c r="I10" s="3">
        <f t="shared" ca="1" si="5"/>
        <v>8</v>
      </c>
      <c r="J10" s="3">
        <f t="shared" ca="1" si="6"/>
        <v>7</v>
      </c>
      <c r="K10" s="3">
        <f t="shared" ca="1" si="9"/>
        <v>0</v>
      </c>
    </row>
    <row r="11" spans="1:11" x14ac:dyDescent="0.45">
      <c r="A11">
        <v>10</v>
      </c>
      <c r="B11" s="2">
        <f t="shared" ca="1" si="0"/>
        <v>0.18516044160326406</v>
      </c>
      <c r="C11" s="3">
        <f t="shared" ca="1" si="1"/>
        <v>3</v>
      </c>
      <c r="D11" s="3">
        <f t="shared" ca="1" si="7"/>
        <v>42</v>
      </c>
      <c r="E11" s="3">
        <f t="shared" ca="1" si="2"/>
        <v>0.30946656943502926</v>
      </c>
      <c r="F11" s="3">
        <f t="shared" ca="1" si="3"/>
        <v>2</v>
      </c>
      <c r="G11" s="3">
        <f t="shared" ca="1" si="8"/>
        <v>47</v>
      </c>
      <c r="H11" s="3">
        <f t="shared" ca="1" si="4"/>
        <v>49</v>
      </c>
      <c r="I11" s="3">
        <f t="shared" ca="1" si="5"/>
        <v>7</v>
      </c>
      <c r="J11" s="3">
        <f t="shared" ca="1" si="6"/>
        <v>5</v>
      </c>
      <c r="K11" s="3">
        <f t="shared" ca="1" si="9"/>
        <v>0</v>
      </c>
    </row>
    <row r="12" spans="1:11" x14ac:dyDescent="0.45">
      <c r="A12">
        <v>11</v>
      </c>
      <c r="B12" s="2">
        <f t="shared" ca="1" si="0"/>
        <v>0.77115936412503505</v>
      </c>
      <c r="C12" s="3">
        <f t="shared" ca="1" si="1"/>
        <v>8</v>
      </c>
      <c r="D12" s="3">
        <f t="shared" ca="1" si="7"/>
        <v>50</v>
      </c>
      <c r="E12" s="3">
        <f t="shared" ca="1" si="2"/>
        <v>0.33549684683393921</v>
      </c>
      <c r="F12" s="3">
        <f t="shared" ca="1" si="3"/>
        <v>2</v>
      </c>
      <c r="G12" s="3">
        <f t="shared" ca="1" si="8"/>
        <v>50</v>
      </c>
      <c r="H12" s="3">
        <f t="shared" ca="1" si="4"/>
        <v>52</v>
      </c>
      <c r="I12" s="3">
        <f t="shared" ca="1" si="5"/>
        <v>2</v>
      </c>
      <c r="J12" s="3">
        <f t="shared" ca="1" si="6"/>
        <v>0</v>
      </c>
      <c r="K12" s="3">
        <f t="shared" ca="1" si="9"/>
        <v>1</v>
      </c>
    </row>
    <row r="13" spans="1:11" x14ac:dyDescent="0.45">
      <c r="A13">
        <v>12</v>
      </c>
      <c r="B13" s="2">
        <f t="shared" ca="1" si="0"/>
        <v>0.56249443252897058</v>
      </c>
      <c r="C13" s="3">
        <f t="shared" ca="1" si="1"/>
        <v>6</v>
      </c>
      <c r="D13" s="3">
        <f t="shared" ca="1" si="7"/>
        <v>56</v>
      </c>
      <c r="E13" s="3">
        <f t="shared" ca="1" si="2"/>
        <v>0.61836614167087212</v>
      </c>
      <c r="F13" s="3">
        <f t="shared" ca="1" si="3"/>
        <v>4</v>
      </c>
      <c r="G13" s="3">
        <f t="shared" ca="1" si="8"/>
        <v>56</v>
      </c>
      <c r="H13" s="3">
        <f t="shared" ca="1" si="4"/>
        <v>60</v>
      </c>
      <c r="I13" s="3">
        <f t="shared" ca="1" si="5"/>
        <v>4</v>
      </c>
      <c r="J13" s="3">
        <f t="shared" ca="1" si="6"/>
        <v>0</v>
      </c>
      <c r="K13" s="3">
        <f t="shared" ca="1" si="9"/>
        <v>4</v>
      </c>
    </row>
    <row r="14" spans="1:11" x14ac:dyDescent="0.45">
      <c r="A14">
        <v>13</v>
      </c>
      <c r="B14" s="2">
        <f t="shared" ca="1" si="0"/>
        <v>0.75784836254868382</v>
      </c>
      <c r="C14" s="3">
        <f t="shared" ca="1" si="1"/>
        <v>8</v>
      </c>
      <c r="D14" s="3">
        <f t="shared" ca="1" si="7"/>
        <v>64</v>
      </c>
      <c r="E14" s="3">
        <f t="shared" ca="1" si="2"/>
        <v>0.66035906513907605</v>
      </c>
      <c r="F14" s="3">
        <f t="shared" ca="1" si="3"/>
        <v>4</v>
      </c>
      <c r="G14" s="3">
        <f t="shared" ca="1" si="8"/>
        <v>64</v>
      </c>
      <c r="H14" s="3">
        <f t="shared" ca="1" si="4"/>
        <v>68</v>
      </c>
      <c r="I14" s="3">
        <f t="shared" ca="1" si="5"/>
        <v>4</v>
      </c>
      <c r="J14" s="3">
        <f t="shared" ca="1" si="6"/>
        <v>0</v>
      </c>
      <c r="K14" s="3">
        <f t="shared" ca="1" si="9"/>
        <v>4</v>
      </c>
    </row>
    <row r="15" spans="1:11" x14ac:dyDescent="0.45">
      <c r="A15">
        <v>14</v>
      </c>
      <c r="B15" s="2">
        <f t="shared" ca="1" si="0"/>
        <v>0.13344103527400508</v>
      </c>
      <c r="C15" s="3">
        <f t="shared" ca="1" si="1"/>
        <v>2</v>
      </c>
      <c r="D15" s="3">
        <f t="shared" ca="1" si="7"/>
        <v>66</v>
      </c>
      <c r="E15" s="3">
        <f t="shared" ca="1" si="2"/>
        <v>0.51193325444231286</v>
      </c>
      <c r="F15" s="3">
        <f t="shared" ca="1" si="3"/>
        <v>3</v>
      </c>
      <c r="G15" s="3">
        <f t="shared" ca="1" si="8"/>
        <v>68</v>
      </c>
      <c r="H15" s="3">
        <f t="shared" ca="1" si="4"/>
        <v>71</v>
      </c>
      <c r="I15" s="3">
        <f t="shared" ca="1" si="5"/>
        <v>5</v>
      </c>
      <c r="J15" s="3">
        <f t="shared" ca="1" si="6"/>
        <v>2</v>
      </c>
      <c r="K15" s="3">
        <f t="shared" ca="1" si="9"/>
        <v>0</v>
      </c>
    </row>
    <row r="16" spans="1:11" x14ac:dyDescent="0.45">
      <c r="A16">
        <v>15</v>
      </c>
      <c r="B16" s="2">
        <f t="shared" ca="1" si="0"/>
        <v>0.27148994072852595</v>
      </c>
      <c r="C16" s="3">
        <f t="shared" ca="1" si="1"/>
        <v>3</v>
      </c>
      <c r="D16" s="3">
        <f t="shared" ca="1" si="7"/>
        <v>69</v>
      </c>
      <c r="E16" s="3">
        <f t="shared" ca="1" si="2"/>
        <v>0.66981045098545655</v>
      </c>
      <c r="F16" s="3">
        <f t="shared" ca="1" si="3"/>
        <v>4</v>
      </c>
      <c r="G16" s="3">
        <f t="shared" ca="1" si="8"/>
        <v>71</v>
      </c>
      <c r="H16" s="3">
        <f t="shared" ca="1" si="4"/>
        <v>75</v>
      </c>
      <c r="I16" s="3">
        <f t="shared" ca="1" si="5"/>
        <v>6</v>
      </c>
      <c r="J16" s="3">
        <f t="shared" ca="1" si="6"/>
        <v>2</v>
      </c>
      <c r="K16" s="3">
        <f t="shared" ca="1" si="9"/>
        <v>0</v>
      </c>
    </row>
    <row r="17" spans="1:11" x14ac:dyDescent="0.45">
      <c r="A17">
        <v>16</v>
      </c>
      <c r="B17" s="2">
        <f t="shared" ca="1" si="0"/>
        <v>0.8891384096094882</v>
      </c>
      <c r="C17" s="3">
        <f t="shared" ca="1" si="1"/>
        <v>9</v>
      </c>
      <c r="D17" s="3">
        <f t="shared" ca="1" si="7"/>
        <v>78</v>
      </c>
      <c r="E17" s="3">
        <f t="shared" ca="1" si="2"/>
        <v>0.94469330099579774</v>
      </c>
      <c r="F17" s="3">
        <f t="shared" ca="1" si="3"/>
        <v>8</v>
      </c>
      <c r="G17" s="3">
        <f t="shared" ca="1" si="8"/>
        <v>78</v>
      </c>
      <c r="H17" s="3">
        <f t="shared" ca="1" si="4"/>
        <v>86</v>
      </c>
      <c r="I17" s="3">
        <f t="shared" ca="1" si="5"/>
        <v>8</v>
      </c>
      <c r="J17" s="3">
        <f t="shared" ca="1" si="6"/>
        <v>0</v>
      </c>
      <c r="K17" s="3">
        <f t="shared" ca="1" si="9"/>
        <v>3</v>
      </c>
    </row>
    <row r="18" spans="1:11" x14ac:dyDescent="0.45">
      <c r="A18">
        <v>17</v>
      </c>
      <c r="B18" s="2">
        <f t="shared" ca="1" si="0"/>
        <v>0.68593303072338596</v>
      </c>
      <c r="C18" s="3">
        <f t="shared" ca="1" si="1"/>
        <v>7</v>
      </c>
      <c r="D18" s="3">
        <f t="shared" ca="1" si="7"/>
        <v>85</v>
      </c>
      <c r="E18" s="3">
        <f t="shared" ca="1" si="2"/>
        <v>0.14702771289225325</v>
      </c>
      <c r="F18" s="3">
        <f t="shared" ca="1" si="3"/>
        <v>0</v>
      </c>
      <c r="G18" s="3">
        <f t="shared" ca="1" si="8"/>
        <v>86</v>
      </c>
      <c r="H18" s="3">
        <f t="shared" ca="1" si="4"/>
        <v>86</v>
      </c>
      <c r="I18" s="3">
        <f t="shared" ca="1" si="5"/>
        <v>1</v>
      </c>
      <c r="J18" s="3">
        <f t="shared" ca="1" si="6"/>
        <v>1</v>
      </c>
      <c r="K18" s="3">
        <f t="shared" ca="1" si="9"/>
        <v>0</v>
      </c>
    </row>
    <row r="19" spans="1:11" x14ac:dyDescent="0.45">
      <c r="A19">
        <v>18</v>
      </c>
      <c r="B19" s="2">
        <f t="shared" ca="1" si="0"/>
        <v>0.48274619339383729</v>
      </c>
      <c r="C19" s="3">
        <f t="shared" ca="1" si="1"/>
        <v>5</v>
      </c>
      <c r="D19" s="3">
        <f t="shared" ca="1" si="7"/>
        <v>90</v>
      </c>
      <c r="E19" s="3">
        <f t="shared" ca="1" si="2"/>
        <v>0.105246895127453</v>
      </c>
      <c r="F19" s="3">
        <f t="shared" ca="1" si="3"/>
        <v>0</v>
      </c>
      <c r="G19" s="3">
        <f t="shared" ca="1" si="8"/>
        <v>90</v>
      </c>
      <c r="H19" s="3">
        <f t="shared" ca="1" si="4"/>
        <v>90</v>
      </c>
      <c r="I19" s="3">
        <f t="shared" ca="1" si="5"/>
        <v>0</v>
      </c>
      <c r="J19" s="3">
        <f t="shared" ca="1" si="6"/>
        <v>0</v>
      </c>
      <c r="K19" s="3">
        <f t="shared" ca="1" si="9"/>
        <v>4</v>
      </c>
    </row>
    <row r="20" spans="1:11" x14ac:dyDescent="0.45">
      <c r="A20">
        <v>19</v>
      </c>
      <c r="B20" s="2">
        <f t="shared" ca="1" si="0"/>
        <v>0.10722326382430813</v>
      </c>
      <c r="C20" s="3">
        <f t="shared" ca="1" si="1"/>
        <v>2</v>
      </c>
      <c r="D20" s="3">
        <f t="shared" ca="1" si="7"/>
        <v>92</v>
      </c>
      <c r="E20" s="3">
        <f t="shared" ca="1" si="2"/>
        <v>1.7172012831842109E-2</v>
      </c>
      <c r="F20" s="3">
        <f t="shared" ca="1" si="3"/>
        <v>0</v>
      </c>
      <c r="G20" s="3">
        <f t="shared" ca="1" si="8"/>
        <v>92</v>
      </c>
      <c r="H20" s="3">
        <f t="shared" ca="1" si="4"/>
        <v>92</v>
      </c>
      <c r="I20" s="3">
        <f t="shared" ca="1" si="5"/>
        <v>0</v>
      </c>
      <c r="J20" s="3">
        <f t="shared" ca="1" si="6"/>
        <v>0</v>
      </c>
      <c r="K20" s="3">
        <f t="shared" ca="1" si="9"/>
        <v>2</v>
      </c>
    </row>
    <row r="21" spans="1:11" x14ac:dyDescent="0.45">
      <c r="A21">
        <v>20</v>
      </c>
      <c r="B21" s="2">
        <f t="shared" ca="1" si="0"/>
        <v>0.50199815544815551</v>
      </c>
      <c r="C21" s="3">
        <f t="shared" ca="1" si="1"/>
        <v>6</v>
      </c>
      <c r="D21" s="3">
        <f t="shared" ca="1" si="7"/>
        <v>98</v>
      </c>
      <c r="E21" s="3">
        <f t="shared" ca="1" si="2"/>
        <v>0.3693744886900403</v>
      </c>
      <c r="F21" s="3">
        <f t="shared" ca="1" si="3"/>
        <v>2</v>
      </c>
      <c r="G21" s="3">
        <f t="shared" ca="1" si="8"/>
        <v>98</v>
      </c>
      <c r="H21" s="3">
        <f t="shared" ca="1" si="4"/>
        <v>100</v>
      </c>
      <c r="I21" s="3">
        <f t="shared" ca="1" si="5"/>
        <v>2</v>
      </c>
      <c r="J21" s="3">
        <f t="shared" ca="1" si="6"/>
        <v>0</v>
      </c>
      <c r="K21" s="3">
        <f t="shared" ca="1" si="9"/>
        <v>6</v>
      </c>
    </row>
    <row r="22" spans="1:11" x14ac:dyDescent="0.45">
      <c r="A22">
        <v>21</v>
      </c>
      <c r="B22" s="2">
        <f t="shared" ca="1" si="0"/>
        <v>0.48596724671323011</v>
      </c>
      <c r="C22" s="3">
        <f t="shared" ca="1" si="1"/>
        <v>5</v>
      </c>
      <c r="D22" s="3">
        <f t="shared" ca="1" si="7"/>
        <v>103</v>
      </c>
      <c r="E22" s="3">
        <f t="shared" ca="1" si="2"/>
        <v>0.29484340566342648</v>
      </c>
      <c r="F22" s="3">
        <f t="shared" ca="1" si="3"/>
        <v>1</v>
      </c>
      <c r="G22" s="3">
        <f t="shared" ca="1" si="8"/>
        <v>103</v>
      </c>
      <c r="H22" s="3">
        <f t="shared" ca="1" si="4"/>
        <v>104</v>
      </c>
      <c r="I22" s="3">
        <f t="shared" ca="1" si="5"/>
        <v>1</v>
      </c>
      <c r="J22" s="3">
        <f t="shared" ca="1" si="6"/>
        <v>0</v>
      </c>
      <c r="K22" s="3">
        <f t="shared" ca="1" si="9"/>
        <v>3</v>
      </c>
    </row>
    <row r="23" spans="1:11" x14ac:dyDescent="0.45">
      <c r="A23">
        <v>22</v>
      </c>
      <c r="B23" s="2">
        <f t="shared" ca="1" si="0"/>
        <v>0.15869704539423313</v>
      </c>
      <c r="C23" s="3">
        <f t="shared" ca="1" si="1"/>
        <v>2</v>
      </c>
      <c r="D23" s="3">
        <f t="shared" ca="1" si="7"/>
        <v>105</v>
      </c>
      <c r="E23" s="3">
        <f t="shared" ca="1" si="2"/>
        <v>0.66544058140176687</v>
      </c>
      <c r="F23" s="3">
        <f t="shared" ca="1" si="3"/>
        <v>4</v>
      </c>
      <c r="G23" s="3">
        <f t="shared" ca="1" si="8"/>
        <v>105</v>
      </c>
      <c r="H23" s="3">
        <f t="shared" ca="1" si="4"/>
        <v>109</v>
      </c>
      <c r="I23" s="3">
        <f t="shared" ca="1" si="5"/>
        <v>4</v>
      </c>
      <c r="J23" s="3">
        <f t="shared" ca="1" si="6"/>
        <v>0</v>
      </c>
      <c r="K23" s="3">
        <f t="shared" ca="1" si="9"/>
        <v>1</v>
      </c>
    </row>
    <row r="24" spans="1:11" x14ac:dyDescent="0.45">
      <c r="A24">
        <v>23</v>
      </c>
      <c r="B24" s="2">
        <f t="shared" ca="1" si="0"/>
        <v>0.29927317541632104</v>
      </c>
      <c r="C24" s="3">
        <f t="shared" ca="1" si="1"/>
        <v>4</v>
      </c>
      <c r="D24" s="3">
        <f t="shared" ca="1" si="7"/>
        <v>109</v>
      </c>
      <c r="E24" s="3">
        <f t="shared" ca="1" si="2"/>
        <v>0.30145927320343846</v>
      </c>
      <c r="F24" s="3">
        <f t="shared" ca="1" si="3"/>
        <v>1</v>
      </c>
      <c r="G24" s="3">
        <f t="shared" ca="1" si="8"/>
        <v>109</v>
      </c>
      <c r="H24" s="3">
        <f t="shared" ca="1" si="4"/>
        <v>110</v>
      </c>
      <c r="I24" s="3">
        <f t="shared" ca="1" si="5"/>
        <v>1</v>
      </c>
      <c r="J24" s="3">
        <f t="shared" ca="1" si="6"/>
        <v>0</v>
      </c>
      <c r="K24" s="3">
        <f t="shared" ca="1" si="9"/>
        <v>0</v>
      </c>
    </row>
    <row r="25" spans="1:11" x14ac:dyDescent="0.45">
      <c r="A25">
        <v>24</v>
      </c>
      <c r="B25" s="2">
        <f t="shared" ca="1" si="0"/>
        <v>0.5642431036419373</v>
      </c>
      <c r="C25" s="3">
        <f t="shared" ca="1" si="1"/>
        <v>6</v>
      </c>
      <c r="D25" s="3">
        <f t="shared" ca="1" si="7"/>
        <v>115</v>
      </c>
      <c r="E25" s="3">
        <f t="shared" ca="1" si="2"/>
        <v>0.51540776265878663</v>
      </c>
      <c r="F25" s="3">
        <f t="shared" ca="1" si="3"/>
        <v>3</v>
      </c>
      <c r="G25" s="3">
        <f t="shared" ca="1" si="8"/>
        <v>115</v>
      </c>
      <c r="H25" s="3">
        <f t="shared" ca="1" si="4"/>
        <v>118</v>
      </c>
      <c r="I25" s="3">
        <f t="shared" ca="1" si="5"/>
        <v>3</v>
      </c>
      <c r="J25" s="3">
        <f t="shared" ca="1" si="6"/>
        <v>0</v>
      </c>
      <c r="K25" s="3">
        <f t="shared" ca="1" si="9"/>
        <v>5</v>
      </c>
    </row>
    <row r="26" spans="1:11" x14ac:dyDescent="0.45">
      <c r="A26">
        <v>25</v>
      </c>
      <c r="B26" s="2">
        <f t="shared" ca="1" si="0"/>
        <v>0.57977589216411252</v>
      </c>
      <c r="C26" s="3">
        <f t="shared" ca="1" si="1"/>
        <v>6</v>
      </c>
      <c r="D26" s="3">
        <f t="shared" ca="1" si="7"/>
        <v>121</v>
      </c>
      <c r="E26" s="3">
        <f t="shared" ca="1" si="2"/>
        <v>0.81145500422829919</v>
      </c>
      <c r="F26" s="3">
        <f t="shared" ca="1" si="3"/>
        <v>6</v>
      </c>
      <c r="G26" s="3">
        <f t="shared" ca="1" si="8"/>
        <v>121</v>
      </c>
      <c r="H26" s="3">
        <f t="shared" ca="1" si="4"/>
        <v>127</v>
      </c>
      <c r="I26" s="3">
        <f t="shared" ca="1" si="5"/>
        <v>6</v>
      </c>
      <c r="J26" s="3">
        <f t="shared" ca="1" si="6"/>
        <v>0</v>
      </c>
      <c r="K26" s="3">
        <f t="shared" ca="1" si="9"/>
        <v>3</v>
      </c>
    </row>
    <row r="27" spans="1:11" x14ac:dyDescent="0.45">
      <c r="A27">
        <v>26</v>
      </c>
      <c r="B27" s="2">
        <f t="shared" ca="1" si="0"/>
        <v>0.92491728095451797</v>
      </c>
      <c r="C27" s="3">
        <f t="shared" ca="1" si="1"/>
        <v>9</v>
      </c>
      <c r="D27" s="3">
        <f t="shared" ca="1" si="7"/>
        <v>130</v>
      </c>
      <c r="E27" s="3">
        <f t="shared" ca="1" si="2"/>
        <v>0.11352022508352022</v>
      </c>
      <c r="F27" s="3">
        <f t="shared" ca="1" si="3"/>
        <v>0</v>
      </c>
      <c r="G27" s="3">
        <f t="shared" ca="1" si="8"/>
        <v>130</v>
      </c>
      <c r="H27" s="3">
        <f t="shared" ca="1" si="4"/>
        <v>130</v>
      </c>
      <c r="I27" s="3">
        <f t="shared" ca="1" si="5"/>
        <v>0</v>
      </c>
      <c r="J27" s="3">
        <f t="shared" ca="1" si="6"/>
        <v>0</v>
      </c>
      <c r="K27" s="3">
        <f t="shared" ca="1" si="9"/>
        <v>3</v>
      </c>
    </row>
    <row r="28" spans="1:11" x14ac:dyDescent="0.45">
      <c r="A28">
        <v>27</v>
      </c>
      <c r="B28" s="2">
        <f t="shared" ca="1" si="0"/>
        <v>0.81449676196799758</v>
      </c>
      <c r="C28" s="3">
        <f t="shared" ca="1" si="1"/>
        <v>8</v>
      </c>
      <c r="D28" s="3">
        <f t="shared" ca="1" si="7"/>
        <v>138</v>
      </c>
      <c r="E28" s="3">
        <f t="shared" ca="1" si="2"/>
        <v>0.1723013552806052</v>
      </c>
      <c r="F28" s="3">
        <f t="shared" ca="1" si="3"/>
        <v>0</v>
      </c>
      <c r="G28" s="3">
        <f t="shared" ca="1" si="8"/>
        <v>138</v>
      </c>
      <c r="H28" s="3">
        <f t="shared" ca="1" si="4"/>
        <v>138</v>
      </c>
      <c r="I28" s="3">
        <f t="shared" ca="1" si="5"/>
        <v>0</v>
      </c>
      <c r="J28" s="3">
        <f t="shared" ca="1" si="6"/>
        <v>0</v>
      </c>
      <c r="K28" s="3">
        <f t="shared" ca="1" si="9"/>
        <v>8</v>
      </c>
    </row>
    <row r="29" spans="1:11" x14ac:dyDescent="0.45">
      <c r="A29">
        <v>28</v>
      </c>
      <c r="B29" s="2">
        <f t="shared" ca="1" si="0"/>
        <v>0.51968448173365611</v>
      </c>
      <c r="C29" s="3">
        <f t="shared" ca="1" si="1"/>
        <v>6</v>
      </c>
      <c r="D29" s="3">
        <f t="shared" ca="1" si="7"/>
        <v>144</v>
      </c>
      <c r="E29" s="3">
        <f t="shared" ca="1" si="2"/>
        <v>0.94791185595934091</v>
      </c>
      <c r="F29" s="3">
        <f t="shared" ca="1" si="3"/>
        <v>8</v>
      </c>
      <c r="G29" s="3">
        <f t="shared" ca="1" si="8"/>
        <v>144</v>
      </c>
      <c r="H29" s="3">
        <f t="shared" ca="1" si="4"/>
        <v>152</v>
      </c>
      <c r="I29" s="3">
        <f t="shared" ca="1" si="5"/>
        <v>8</v>
      </c>
      <c r="J29" s="3">
        <f t="shared" ca="1" si="6"/>
        <v>0</v>
      </c>
      <c r="K29" s="3">
        <f t="shared" ca="1" si="9"/>
        <v>6</v>
      </c>
    </row>
    <row r="30" spans="1:11" x14ac:dyDescent="0.45">
      <c r="A30">
        <v>29</v>
      </c>
      <c r="B30" s="2">
        <f t="shared" ca="1" si="0"/>
        <v>0.86752201480890467</v>
      </c>
      <c r="C30" s="3">
        <f t="shared" ca="1" si="1"/>
        <v>9</v>
      </c>
      <c r="D30" s="3">
        <f t="shared" ca="1" si="7"/>
        <v>153</v>
      </c>
      <c r="E30" s="3">
        <f t="shared" ca="1" si="2"/>
        <v>0.17289001731277076</v>
      </c>
      <c r="F30" s="3">
        <f t="shared" ca="1" si="3"/>
        <v>0</v>
      </c>
      <c r="G30" s="3">
        <f t="shared" ca="1" si="8"/>
        <v>153</v>
      </c>
      <c r="H30" s="3">
        <f t="shared" ca="1" si="4"/>
        <v>153</v>
      </c>
      <c r="I30" s="3">
        <f t="shared" ca="1" si="5"/>
        <v>0</v>
      </c>
      <c r="J30" s="3">
        <f t="shared" ca="1" si="6"/>
        <v>0</v>
      </c>
      <c r="K30" s="3">
        <f t="shared" ca="1" si="9"/>
        <v>1</v>
      </c>
    </row>
    <row r="31" spans="1:11" x14ac:dyDescent="0.45">
      <c r="A31">
        <v>30</v>
      </c>
      <c r="B31" s="2">
        <f t="shared" ca="1" si="0"/>
        <v>0.23640907748723472</v>
      </c>
      <c r="C31" s="3">
        <f t="shared" ca="1" si="1"/>
        <v>3</v>
      </c>
      <c r="D31" s="3">
        <f t="shared" ca="1" si="7"/>
        <v>156</v>
      </c>
      <c r="E31" s="3">
        <f t="shared" ca="1" si="2"/>
        <v>0.79245682205163703</v>
      </c>
      <c r="F31" s="3">
        <f t="shared" ca="1" si="3"/>
        <v>5</v>
      </c>
      <c r="G31" s="3">
        <f t="shared" ca="1" si="8"/>
        <v>156</v>
      </c>
      <c r="H31" s="3">
        <f t="shared" ca="1" si="4"/>
        <v>161</v>
      </c>
      <c r="I31" s="3">
        <f t="shared" ca="1" si="5"/>
        <v>5</v>
      </c>
      <c r="J31" s="3">
        <f t="shared" ca="1" si="6"/>
        <v>0</v>
      </c>
      <c r="K31" s="3">
        <f t="shared" ca="1" si="9"/>
        <v>3</v>
      </c>
    </row>
    <row r="32" spans="1:11" x14ac:dyDescent="0.45">
      <c r="A32">
        <v>31</v>
      </c>
      <c r="B32" s="2">
        <f t="shared" ca="1" si="0"/>
        <v>0.51640860167198277</v>
      </c>
      <c r="C32" s="3">
        <f t="shared" ca="1" si="1"/>
        <v>6</v>
      </c>
      <c r="D32" s="3">
        <f t="shared" ca="1" si="7"/>
        <v>162</v>
      </c>
      <c r="E32" s="3">
        <f t="shared" ca="1" si="2"/>
        <v>0.39959588780720678</v>
      </c>
      <c r="F32" s="3">
        <f t="shared" ca="1" si="3"/>
        <v>2</v>
      </c>
      <c r="G32" s="3">
        <f t="shared" ca="1" si="8"/>
        <v>162</v>
      </c>
      <c r="H32" s="3">
        <f t="shared" ca="1" si="4"/>
        <v>164</v>
      </c>
      <c r="I32" s="3">
        <f t="shared" ca="1" si="5"/>
        <v>2</v>
      </c>
      <c r="J32" s="3">
        <f t="shared" ca="1" si="6"/>
        <v>0</v>
      </c>
      <c r="K32" s="3">
        <f t="shared" ca="1" si="9"/>
        <v>1</v>
      </c>
    </row>
    <row r="33" spans="1:11" x14ac:dyDescent="0.45">
      <c r="A33">
        <v>32</v>
      </c>
      <c r="B33" s="2">
        <f t="shared" ca="1" si="0"/>
        <v>0.38587782626138989</v>
      </c>
      <c r="C33" s="3">
        <f t="shared" ca="1" si="1"/>
        <v>4</v>
      </c>
      <c r="D33" s="3">
        <f t="shared" ca="1" si="7"/>
        <v>166</v>
      </c>
      <c r="E33" s="3">
        <f t="shared" ca="1" si="2"/>
        <v>0.42833068399962759</v>
      </c>
      <c r="F33" s="3">
        <f t="shared" ca="1" si="3"/>
        <v>2</v>
      </c>
      <c r="G33" s="3">
        <f t="shared" ca="1" si="8"/>
        <v>166</v>
      </c>
      <c r="H33" s="3">
        <f t="shared" ca="1" si="4"/>
        <v>168</v>
      </c>
      <c r="I33" s="3">
        <f t="shared" ca="1" si="5"/>
        <v>2</v>
      </c>
      <c r="J33" s="3">
        <f t="shared" ca="1" si="6"/>
        <v>0</v>
      </c>
      <c r="K33" s="3">
        <f t="shared" ca="1" si="9"/>
        <v>2</v>
      </c>
    </row>
    <row r="34" spans="1:11" x14ac:dyDescent="0.45">
      <c r="A34">
        <v>33</v>
      </c>
      <c r="B34" s="2">
        <f t="shared" ref="B34:B51" ca="1" si="10">RAND()</f>
        <v>0.68472099069393022</v>
      </c>
      <c r="C34" s="3">
        <f t="shared" ref="C34:C65" ca="1" si="11">ROUND(1 + (10-1)*B34, 0)</f>
        <v>7</v>
      </c>
      <c r="D34" s="3">
        <f t="shared" ca="1" si="7"/>
        <v>173</v>
      </c>
      <c r="E34" s="3">
        <f t="shared" ref="E34:E51" ca="1" si="12">RAND()</f>
        <v>0.44983991734657813</v>
      </c>
      <c r="F34" s="3">
        <f t="shared" ref="F34:F65" ca="1" si="13">ROUND(MAX(0.1, NORMINV(E34, 3, 3)), 0)</f>
        <v>3</v>
      </c>
      <c r="G34" s="3">
        <f t="shared" ca="1" si="8"/>
        <v>173</v>
      </c>
      <c r="H34" s="3">
        <f t="shared" ref="H34:H65" ca="1" si="14">ROUND(G34+F34, 0)</f>
        <v>176</v>
      </c>
      <c r="I34" s="3">
        <f t="shared" ref="I34:I65" ca="1" si="15">ROUND(H34-D34, 0)</f>
        <v>3</v>
      </c>
      <c r="J34" s="3">
        <f t="shared" ref="J34:J51" ca="1" si="16">ROUND(G34-D34, 0)</f>
        <v>0</v>
      </c>
      <c r="K34" s="3">
        <f t="shared" ca="1" si="9"/>
        <v>5</v>
      </c>
    </row>
    <row r="35" spans="1:11" x14ac:dyDescent="0.45">
      <c r="A35">
        <v>34</v>
      </c>
      <c r="B35" s="2">
        <f t="shared" ca="1" si="10"/>
        <v>0.21894199407598369</v>
      </c>
      <c r="C35" s="3">
        <f t="shared" ca="1" si="11"/>
        <v>3</v>
      </c>
      <c r="D35" s="3">
        <f t="shared" ref="D35:D66" ca="1" si="17">ROUND(D34+C35, 0)</f>
        <v>176</v>
      </c>
      <c r="E35" s="3">
        <f t="shared" ca="1" si="12"/>
        <v>0.7012702894226589</v>
      </c>
      <c r="F35" s="3">
        <f t="shared" ca="1" si="13"/>
        <v>5</v>
      </c>
      <c r="G35" s="3">
        <f t="shared" ref="G35:G51" ca="1" si="18">ROUND(MAX(D35, H34), 0)</f>
        <v>176</v>
      </c>
      <c r="H35" s="3">
        <f t="shared" ca="1" si="14"/>
        <v>181</v>
      </c>
      <c r="I35" s="3">
        <f t="shared" ca="1" si="15"/>
        <v>5</v>
      </c>
      <c r="J35" s="3">
        <f t="shared" ca="1" si="16"/>
        <v>0</v>
      </c>
      <c r="K35" s="3">
        <f t="shared" ref="K35:K51" ca="1" si="19">ROUND(MAX(0, G35-H34), 0)</f>
        <v>0</v>
      </c>
    </row>
    <row r="36" spans="1:11" x14ac:dyDescent="0.45">
      <c r="A36">
        <v>35</v>
      </c>
      <c r="B36" s="2">
        <f t="shared" ca="1" si="10"/>
        <v>0.79648689994294686</v>
      </c>
      <c r="C36" s="3">
        <f t="shared" ca="1" si="11"/>
        <v>8</v>
      </c>
      <c r="D36" s="3">
        <f t="shared" ca="1" si="17"/>
        <v>184</v>
      </c>
      <c r="E36" s="3">
        <f t="shared" ca="1" si="12"/>
        <v>0.56246134508979662</v>
      </c>
      <c r="F36" s="3">
        <f t="shared" ca="1" si="13"/>
        <v>3</v>
      </c>
      <c r="G36" s="3">
        <f t="shared" ca="1" si="18"/>
        <v>184</v>
      </c>
      <c r="H36" s="3">
        <f t="shared" ca="1" si="14"/>
        <v>187</v>
      </c>
      <c r="I36" s="3">
        <f t="shared" ca="1" si="15"/>
        <v>3</v>
      </c>
      <c r="J36" s="3">
        <f t="shared" ca="1" si="16"/>
        <v>0</v>
      </c>
      <c r="K36" s="3">
        <f t="shared" ca="1" si="19"/>
        <v>3</v>
      </c>
    </row>
    <row r="37" spans="1:11" x14ac:dyDescent="0.45">
      <c r="A37">
        <v>36</v>
      </c>
      <c r="B37" s="2">
        <f t="shared" ca="1" si="10"/>
        <v>0.2096766714592595</v>
      </c>
      <c r="C37" s="3">
        <f t="shared" ca="1" si="11"/>
        <v>3</v>
      </c>
      <c r="D37" s="3">
        <f t="shared" ca="1" si="17"/>
        <v>187</v>
      </c>
      <c r="E37" s="3">
        <f t="shared" ca="1" si="12"/>
        <v>6.9359207417611812E-2</v>
      </c>
      <c r="F37" s="3">
        <f t="shared" ca="1" si="13"/>
        <v>0</v>
      </c>
      <c r="G37" s="3">
        <f t="shared" ca="1" si="18"/>
        <v>187</v>
      </c>
      <c r="H37" s="3">
        <f t="shared" ca="1" si="14"/>
        <v>187</v>
      </c>
      <c r="I37" s="3">
        <f t="shared" ca="1" si="15"/>
        <v>0</v>
      </c>
      <c r="J37" s="3">
        <f t="shared" ca="1" si="16"/>
        <v>0</v>
      </c>
      <c r="K37" s="3">
        <f t="shared" ca="1" si="19"/>
        <v>0</v>
      </c>
    </row>
    <row r="38" spans="1:11" x14ac:dyDescent="0.45">
      <c r="A38">
        <v>37</v>
      </c>
      <c r="B38" s="2">
        <f t="shared" ca="1" si="10"/>
        <v>0.46730070227289167</v>
      </c>
      <c r="C38" s="3">
        <f t="shared" ca="1" si="11"/>
        <v>5</v>
      </c>
      <c r="D38" s="3">
        <f t="shared" ca="1" si="17"/>
        <v>192</v>
      </c>
      <c r="E38" s="3">
        <f t="shared" ca="1" si="12"/>
        <v>0.1263295919335109</v>
      </c>
      <c r="F38" s="3">
        <f t="shared" ca="1" si="13"/>
        <v>0</v>
      </c>
      <c r="G38" s="3">
        <f t="shared" ca="1" si="18"/>
        <v>192</v>
      </c>
      <c r="H38" s="3">
        <f t="shared" ca="1" si="14"/>
        <v>192</v>
      </c>
      <c r="I38" s="3">
        <f t="shared" ca="1" si="15"/>
        <v>0</v>
      </c>
      <c r="J38" s="3">
        <f t="shared" ca="1" si="16"/>
        <v>0</v>
      </c>
      <c r="K38" s="3">
        <f t="shared" ca="1" si="19"/>
        <v>5</v>
      </c>
    </row>
    <row r="39" spans="1:11" x14ac:dyDescent="0.45">
      <c r="A39">
        <v>38</v>
      </c>
      <c r="B39" s="2">
        <f t="shared" ca="1" si="10"/>
        <v>0.93861517451714727</v>
      </c>
      <c r="C39" s="3">
        <f t="shared" ca="1" si="11"/>
        <v>9</v>
      </c>
      <c r="D39" s="3">
        <f t="shared" ca="1" si="17"/>
        <v>201</v>
      </c>
      <c r="E39" s="3">
        <f t="shared" ca="1" si="12"/>
        <v>0.48517189653563231</v>
      </c>
      <c r="F39" s="3">
        <f t="shared" ca="1" si="13"/>
        <v>3</v>
      </c>
      <c r="G39" s="3">
        <f t="shared" ca="1" si="18"/>
        <v>201</v>
      </c>
      <c r="H39" s="3">
        <f t="shared" ca="1" si="14"/>
        <v>204</v>
      </c>
      <c r="I39" s="3">
        <f t="shared" ca="1" si="15"/>
        <v>3</v>
      </c>
      <c r="J39" s="3">
        <f t="shared" ca="1" si="16"/>
        <v>0</v>
      </c>
      <c r="K39" s="3">
        <f t="shared" ca="1" si="19"/>
        <v>9</v>
      </c>
    </row>
    <row r="40" spans="1:11" x14ac:dyDescent="0.45">
      <c r="A40">
        <v>39</v>
      </c>
      <c r="B40" s="2">
        <f t="shared" ca="1" si="10"/>
        <v>0.53425118144537309</v>
      </c>
      <c r="C40" s="3">
        <f t="shared" ca="1" si="11"/>
        <v>6</v>
      </c>
      <c r="D40" s="3">
        <f t="shared" ca="1" si="17"/>
        <v>207</v>
      </c>
      <c r="E40" s="3">
        <f t="shared" ca="1" si="12"/>
        <v>0.63084267089368151</v>
      </c>
      <c r="F40" s="3">
        <f t="shared" ca="1" si="13"/>
        <v>4</v>
      </c>
      <c r="G40" s="3">
        <f t="shared" ca="1" si="18"/>
        <v>207</v>
      </c>
      <c r="H40" s="3">
        <f t="shared" ca="1" si="14"/>
        <v>211</v>
      </c>
      <c r="I40" s="3">
        <f t="shared" ca="1" si="15"/>
        <v>4</v>
      </c>
      <c r="J40" s="3">
        <f t="shared" ca="1" si="16"/>
        <v>0</v>
      </c>
      <c r="K40" s="3">
        <f t="shared" ca="1" si="19"/>
        <v>3</v>
      </c>
    </row>
    <row r="41" spans="1:11" x14ac:dyDescent="0.45">
      <c r="A41">
        <v>40</v>
      </c>
      <c r="B41" s="2">
        <f t="shared" ca="1" si="10"/>
        <v>0.66510362008728974</v>
      </c>
      <c r="C41" s="3">
        <f t="shared" ca="1" si="11"/>
        <v>7</v>
      </c>
      <c r="D41" s="3">
        <f t="shared" ca="1" si="17"/>
        <v>214</v>
      </c>
      <c r="E41" s="3">
        <f t="shared" ca="1" si="12"/>
        <v>0.3625392237351821</v>
      </c>
      <c r="F41" s="3">
        <f t="shared" ca="1" si="13"/>
        <v>2</v>
      </c>
      <c r="G41" s="3">
        <f t="shared" ca="1" si="18"/>
        <v>214</v>
      </c>
      <c r="H41" s="3">
        <f t="shared" ca="1" si="14"/>
        <v>216</v>
      </c>
      <c r="I41" s="3">
        <f t="shared" ca="1" si="15"/>
        <v>2</v>
      </c>
      <c r="J41" s="3">
        <f t="shared" ca="1" si="16"/>
        <v>0</v>
      </c>
      <c r="K41" s="3">
        <f t="shared" ca="1" si="19"/>
        <v>3</v>
      </c>
    </row>
    <row r="42" spans="1:11" x14ac:dyDescent="0.45">
      <c r="A42">
        <v>41</v>
      </c>
      <c r="B42" s="2">
        <f t="shared" ca="1" si="10"/>
        <v>0.94549938748041495</v>
      </c>
      <c r="C42" s="3">
        <f t="shared" ca="1" si="11"/>
        <v>10</v>
      </c>
      <c r="D42" s="3">
        <f t="shared" ca="1" si="17"/>
        <v>224</v>
      </c>
      <c r="E42" s="3">
        <f t="shared" ca="1" si="12"/>
        <v>0.98228590434649299</v>
      </c>
      <c r="F42" s="3">
        <f t="shared" ca="1" si="13"/>
        <v>9</v>
      </c>
      <c r="G42" s="3">
        <f t="shared" ca="1" si="18"/>
        <v>224</v>
      </c>
      <c r="H42" s="3">
        <f t="shared" ca="1" si="14"/>
        <v>233</v>
      </c>
      <c r="I42" s="3">
        <f t="shared" ca="1" si="15"/>
        <v>9</v>
      </c>
      <c r="J42" s="3">
        <f t="shared" ca="1" si="16"/>
        <v>0</v>
      </c>
      <c r="K42" s="3">
        <f t="shared" ca="1" si="19"/>
        <v>8</v>
      </c>
    </row>
    <row r="43" spans="1:11" x14ac:dyDescent="0.45">
      <c r="A43">
        <v>42</v>
      </c>
      <c r="B43" s="2">
        <f t="shared" ca="1" si="10"/>
        <v>0.54624527247687849</v>
      </c>
      <c r="C43" s="3">
        <f t="shared" ca="1" si="11"/>
        <v>6</v>
      </c>
      <c r="D43" s="3">
        <f t="shared" ca="1" si="17"/>
        <v>230</v>
      </c>
      <c r="E43" s="3">
        <f t="shared" ca="1" si="12"/>
        <v>0.5162986231413409</v>
      </c>
      <c r="F43" s="3">
        <f t="shared" ca="1" si="13"/>
        <v>3</v>
      </c>
      <c r="G43" s="3">
        <f t="shared" ca="1" si="18"/>
        <v>233</v>
      </c>
      <c r="H43" s="3">
        <f t="shared" ca="1" si="14"/>
        <v>236</v>
      </c>
      <c r="I43" s="3">
        <f t="shared" ca="1" si="15"/>
        <v>6</v>
      </c>
      <c r="J43" s="3">
        <f t="shared" ca="1" si="16"/>
        <v>3</v>
      </c>
      <c r="K43" s="3">
        <f t="shared" ca="1" si="19"/>
        <v>0</v>
      </c>
    </row>
    <row r="44" spans="1:11" x14ac:dyDescent="0.45">
      <c r="A44">
        <v>43</v>
      </c>
      <c r="B44" s="2">
        <f t="shared" ca="1" si="10"/>
        <v>0.7080746785961658</v>
      </c>
      <c r="C44" s="3">
        <f t="shared" ca="1" si="11"/>
        <v>7</v>
      </c>
      <c r="D44" s="3">
        <f t="shared" ca="1" si="17"/>
        <v>237</v>
      </c>
      <c r="E44" s="3">
        <f t="shared" ca="1" si="12"/>
        <v>0.296763433075377</v>
      </c>
      <c r="F44" s="3">
        <f t="shared" ca="1" si="13"/>
        <v>1</v>
      </c>
      <c r="G44" s="3">
        <f t="shared" ca="1" si="18"/>
        <v>237</v>
      </c>
      <c r="H44" s="3">
        <f t="shared" ca="1" si="14"/>
        <v>238</v>
      </c>
      <c r="I44" s="3">
        <f t="shared" ca="1" si="15"/>
        <v>1</v>
      </c>
      <c r="J44" s="3">
        <f t="shared" ca="1" si="16"/>
        <v>0</v>
      </c>
      <c r="K44" s="3">
        <f t="shared" ca="1" si="19"/>
        <v>1</v>
      </c>
    </row>
    <row r="45" spans="1:11" x14ac:dyDescent="0.45">
      <c r="A45">
        <v>44</v>
      </c>
      <c r="B45" s="2">
        <f t="shared" ca="1" si="10"/>
        <v>2.9082334178648916E-2</v>
      </c>
      <c r="C45" s="3">
        <f t="shared" ca="1" si="11"/>
        <v>1</v>
      </c>
      <c r="D45" s="3">
        <f t="shared" ca="1" si="17"/>
        <v>238</v>
      </c>
      <c r="E45" s="3">
        <f t="shared" ca="1" si="12"/>
        <v>0.3341298884211098</v>
      </c>
      <c r="F45" s="3">
        <f t="shared" ca="1" si="13"/>
        <v>2</v>
      </c>
      <c r="G45" s="3">
        <f t="shared" ca="1" si="18"/>
        <v>238</v>
      </c>
      <c r="H45" s="3">
        <f t="shared" ca="1" si="14"/>
        <v>240</v>
      </c>
      <c r="I45" s="3">
        <f t="shared" ca="1" si="15"/>
        <v>2</v>
      </c>
      <c r="J45" s="3">
        <f t="shared" ca="1" si="16"/>
        <v>0</v>
      </c>
      <c r="K45" s="3">
        <f t="shared" ca="1" si="19"/>
        <v>0</v>
      </c>
    </row>
    <row r="46" spans="1:11" x14ac:dyDescent="0.45">
      <c r="A46">
        <v>45</v>
      </c>
      <c r="B46" s="2">
        <f t="shared" ca="1" si="10"/>
        <v>0.81453728180629092</v>
      </c>
      <c r="C46" s="3">
        <f t="shared" ca="1" si="11"/>
        <v>8</v>
      </c>
      <c r="D46" s="3">
        <f t="shared" ca="1" si="17"/>
        <v>246</v>
      </c>
      <c r="E46" s="3">
        <f t="shared" ca="1" si="12"/>
        <v>0.4747427475509185</v>
      </c>
      <c r="F46" s="3">
        <f t="shared" ca="1" si="13"/>
        <v>3</v>
      </c>
      <c r="G46" s="3">
        <f t="shared" ca="1" si="18"/>
        <v>246</v>
      </c>
      <c r="H46" s="3">
        <f t="shared" ca="1" si="14"/>
        <v>249</v>
      </c>
      <c r="I46" s="3">
        <f t="shared" ca="1" si="15"/>
        <v>3</v>
      </c>
      <c r="J46" s="3">
        <f t="shared" ca="1" si="16"/>
        <v>0</v>
      </c>
      <c r="K46" s="3">
        <f t="shared" ca="1" si="19"/>
        <v>6</v>
      </c>
    </row>
    <row r="47" spans="1:11" x14ac:dyDescent="0.45">
      <c r="A47">
        <v>46</v>
      </c>
      <c r="B47" s="2">
        <f t="shared" ca="1" si="10"/>
        <v>0.72935704563972448</v>
      </c>
      <c r="C47" s="3">
        <f t="shared" ca="1" si="11"/>
        <v>8</v>
      </c>
      <c r="D47" s="3">
        <f t="shared" ca="1" si="17"/>
        <v>254</v>
      </c>
      <c r="E47" s="3">
        <f t="shared" ca="1" si="12"/>
        <v>4.6054329626711965E-2</v>
      </c>
      <c r="F47" s="3">
        <f t="shared" ca="1" si="13"/>
        <v>0</v>
      </c>
      <c r="G47" s="3">
        <f t="shared" ca="1" si="18"/>
        <v>254</v>
      </c>
      <c r="H47" s="3">
        <f t="shared" ca="1" si="14"/>
        <v>254</v>
      </c>
      <c r="I47" s="3">
        <f t="shared" ca="1" si="15"/>
        <v>0</v>
      </c>
      <c r="J47" s="3">
        <f t="shared" ca="1" si="16"/>
        <v>0</v>
      </c>
      <c r="K47" s="3">
        <f t="shared" ca="1" si="19"/>
        <v>5</v>
      </c>
    </row>
    <row r="48" spans="1:11" x14ac:dyDescent="0.45">
      <c r="A48">
        <v>47</v>
      </c>
      <c r="B48" s="2">
        <f t="shared" ca="1" si="10"/>
        <v>0.22610571823401848</v>
      </c>
      <c r="C48" s="3">
        <f t="shared" ca="1" si="11"/>
        <v>3</v>
      </c>
      <c r="D48" s="3">
        <f t="shared" ca="1" si="17"/>
        <v>257</v>
      </c>
      <c r="E48" s="3">
        <f t="shared" ca="1" si="12"/>
        <v>0.8941865759123333</v>
      </c>
      <c r="F48" s="3">
        <f t="shared" ca="1" si="13"/>
        <v>7</v>
      </c>
      <c r="G48" s="3">
        <f t="shared" ca="1" si="18"/>
        <v>257</v>
      </c>
      <c r="H48" s="3">
        <f t="shared" ca="1" si="14"/>
        <v>264</v>
      </c>
      <c r="I48" s="3">
        <f t="shared" ca="1" si="15"/>
        <v>7</v>
      </c>
      <c r="J48" s="3">
        <f t="shared" ca="1" si="16"/>
        <v>0</v>
      </c>
      <c r="K48" s="3">
        <f t="shared" ca="1" si="19"/>
        <v>3</v>
      </c>
    </row>
    <row r="49" spans="1:11" x14ac:dyDescent="0.45">
      <c r="A49">
        <v>48</v>
      </c>
      <c r="B49" s="2">
        <f t="shared" ca="1" si="10"/>
        <v>0.80650734729272944</v>
      </c>
      <c r="C49" s="3">
        <f t="shared" ca="1" si="11"/>
        <v>8</v>
      </c>
      <c r="D49" s="3">
        <f t="shared" ca="1" si="17"/>
        <v>265</v>
      </c>
      <c r="E49" s="3">
        <f t="shared" ca="1" si="12"/>
        <v>0.75072766788057255</v>
      </c>
      <c r="F49" s="3">
        <f t="shared" ca="1" si="13"/>
        <v>5</v>
      </c>
      <c r="G49" s="3">
        <f t="shared" ca="1" si="18"/>
        <v>265</v>
      </c>
      <c r="H49" s="3">
        <f t="shared" ca="1" si="14"/>
        <v>270</v>
      </c>
      <c r="I49" s="3">
        <f t="shared" ca="1" si="15"/>
        <v>5</v>
      </c>
      <c r="J49" s="3">
        <f t="shared" ca="1" si="16"/>
        <v>0</v>
      </c>
      <c r="K49" s="3">
        <f t="shared" ca="1" si="19"/>
        <v>1</v>
      </c>
    </row>
    <row r="50" spans="1:11" x14ac:dyDescent="0.45">
      <c r="A50">
        <v>49</v>
      </c>
      <c r="B50" s="2">
        <f t="shared" ca="1" si="10"/>
        <v>0.26626098202502912</v>
      </c>
      <c r="C50" s="3">
        <f t="shared" ca="1" si="11"/>
        <v>3</v>
      </c>
      <c r="D50" s="3">
        <f t="shared" ca="1" si="17"/>
        <v>268</v>
      </c>
      <c r="E50" s="3">
        <f t="shared" ca="1" si="12"/>
        <v>0.78896536690972174</v>
      </c>
      <c r="F50" s="3">
        <f t="shared" ca="1" si="13"/>
        <v>5</v>
      </c>
      <c r="G50" s="3">
        <f t="shared" ca="1" si="18"/>
        <v>270</v>
      </c>
      <c r="H50" s="3">
        <f t="shared" ca="1" si="14"/>
        <v>275</v>
      </c>
      <c r="I50" s="3">
        <f t="shared" ca="1" si="15"/>
        <v>7</v>
      </c>
      <c r="J50" s="3">
        <f t="shared" ca="1" si="16"/>
        <v>2</v>
      </c>
      <c r="K50" s="3">
        <f t="shared" ca="1" si="19"/>
        <v>0</v>
      </c>
    </row>
    <row r="51" spans="1:11" x14ac:dyDescent="0.45">
      <c r="A51">
        <v>50</v>
      </c>
      <c r="B51" s="2">
        <f t="shared" ca="1" si="10"/>
        <v>0.63492603970058814</v>
      </c>
      <c r="C51" s="3">
        <f t="shared" ca="1" si="11"/>
        <v>7</v>
      </c>
      <c r="D51" s="3">
        <f t="shared" ca="1" si="17"/>
        <v>275</v>
      </c>
      <c r="E51" s="3">
        <f t="shared" ca="1" si="12"/>
        <v>0.26916486798728945</v>
      </c>
      <c r="F51" s="3">
        <f t="shared" ca="1" si="13"/>
        <v>1</v>
      </c>
      <c r="G51" s="3">
        <f t="shared" ca="1" si="18"/>
        <v>275</v>
      </c>
      <c r="H51" s="3">
        <f t="shared" ca="1" si="14"/>
        <v>276</v>
      </c>
      <c r="I51" s="3">
        <f t="shared" ca="1" si="15"/>
        <v>1</v>
      </c>
      <c r="J51" s="3">
        <f t="shared" ca="1" si="16"/>
        <v>0</v>
      </c>
      <c r="K51" s="3">
        <f t="shared" ca="1" si="19"/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"/>
  <sheetViews>
    <sheetView workbookViewId="0">
      <selection activeCell="C21" sqref="C21"/>
    </sheetView>
  </sheetViews>
  <sheetFormatPr baseColWidth="10" defaultColWidth="9.06640625" defaultRowHeight="14.25" x14ac:dyDescent="0.45"/>
  <cols>
    <col min="1" max="1" width="38" customWidth="1"/>
    <col min="2" max="2" width="39" customWidth="1"/>
    <col min="3" max="3" width="43" customWidth="1"/>
    <col min="4" max="4" width="44" customWidth="1"/>
  </cols>
  <sheetData>
    <row r="1" spans="1:4" x14ac:dyDescent="0.45">
      <c r="A1" s="1" t="s">
        <v>11</v>
      </c>
      <c r="B1" s="1" t="s">
        <v>12</v>
      </c>
      <c r="C1" s="1" t="s">
        <v>13</v>
      </c>
      <c r="D1" s="1" t="s">
        <v>14</v>
      </c>
    </row>
    <row r="2" spans="1:4" x14ac:dyDescent="0.45">
      <c r="A2" t="s">
        <v>15</v>
      </c>
      <c r="B2" s="2">
        <f ca="1">ROUND(AVERAGE('1. Caso Base (U-U)'!I2:I51), 0)</f>
        <v>4</v>
      </c>
      <c r="C2" s="2">
        <f ca="1">ROUND(AVERAGE('2. Escenario 1 (Exp-U)'!I2:I51), 0)</f>
        <v>5</v>
      </c>
      <c r="D2" s="2">
        <f ca="1">ROUND(AVERAGE('3. Escenario 2 (U-Norm)'!I2:I51), 0)</f>
        <v>4</v>
      </c>
    </row>
    <row r="3" spans="1:4" x14ac:dyDescent="0.45">
      <c r="A3" t="s">
        <v>16</v>
      </c>
      <c r="B3" s="2">
        <f ca="1">ROUND(SUM('1. Caso Base (U-U)'!K2:K51), 0)</f>
        <v>109</v>
      </c>
      <c r="C3" s="2">
        <f ca="1">ROUND(SUM('2. Escenario 1 (Exp-U)'!K2:K51), 0)</f>
        <v>230</v>
      </c>
      <c r="D3" s="2">
        <f ca="1">ROUND(SUM('3. Escenario 2 (U-Norm)'!K2:K51), 0)</f>
        <v>135</v>
      </c>
    </row>
    <row r="4" spans="1:4" x14ac:dyDescent="0.45">
      <c r="A4" t="s">
        <v>17</v>
      </c>
      <c r="B4" s="2">
        <f ca="1">ROUND(AVERAGE('1. Caso Base (U-U)'!J2:J51), 0)</f>
        <v>1</v>
      </c>
      <c r="C4" s="2">
        <f ca="1">ROUND(AVERAGE('2. Escenario 1 (Exp-U)'!J2:J51), 0)</f>
        <v>2</v>
      </c>
      <c r="D4" s="2">
        <f ca="1">ROUND(AVERAGE('3. Escenario 2 (U-Norm)'!J2:J51), 0)</f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1. Caso Base (U-U)</vt:lpstr>
      <vt:lpstr>2. Escenario 1 (Exp-U)</vt:lpstr>
      <vt:lpstr>3. Escenario 2 (U-Norm)</vt:lpstr>
      <vt:lpstr>Resumen y Comparación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 Nicolás Muñoz Cortés</cp:lastModifiedBy>
  <dcterms:created xsi:type="dcterms:W3CDTF">2026-04-29T17:15:09Z</dcterms:created>
  <dcterms:modified xsi:type="dcterms:W3CDTF">2026-05-04T01:03:17Z</dcterms:modified>
</cp:coreProperties>
</file>