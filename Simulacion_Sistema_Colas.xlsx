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aledu-my.sharepoint.com/personal/evmunoz_unal_edu_co/Documents/GENERAL/Documents/UNAL/Semestre 5/Modelos y Simulación/"/>
    </mc:Choice>
  </mc:AlternateContent>
  <xr:revisionPtr revIDLastSave="52" documentId="11_AA55D0B7F96E0355477249FA8C33E14F5FB2D5BC" xr6:coauthVersionLast="47" xr6:coauthVersionMax="47" xr10:uidLastSave="{D72AE453-9CFA-4D51-84E7-FE6B5097205E}"/>
  <bookViews>
    <workbookView xWindow="-98" yWindow="-98" windowWidth="19396" windowHeight="11475" xr2:uid="{00000000-000D-0000-FFFF-FFFF00000000}"/>
  </bookViews>
  <sheets>
    <sheet name="1. Caso Base (U-U)" sheetId="1" r:id="rId1"/>
    <sheet name="2. Escenario 1 (Exp-U)" sheetId="2" r:id="rId2"/>
    <sheet name="3. Escenario 2 (U-Norm)" sheetId="3" r:id="rId3"/>
    <sheet name="Resumen y Comparació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3" l="1"/>
  <c r="F51" i="3" s="1"/>
  <c r="B51" i="3"/>
  <c r="C51" i="3" s="1"/>
  <c r="E50" i="3"/>
  <c r="F50" i="3" s="1"/>
  <c r="B50" i="3"/>
  <c r="C50" i="3" s="1"/>
  <c r="E49" i="3"/>
  <c r="F49" i="3" s="1"/>
  <c r="B49" i="3"/>
  <c r="C49" i="3" s="1"/>
  <c r="E48" i="3"/>
  <c r="F48" i="3" s="1"/>
  <c r="C48" i="3"/>
  <c r="B48" i="3"/>
  <c r="E47" i="3"/>
  <c r="F47" i="3" s="1"/>
  <c r="B47" i="3"/>
  <c r="C47" i="3" s="1"/>
  <c r="E46" i="3"/>
  <c r="F46" i="3" s="1"/>
  <c r="C46" i="3"/>
  <c r="B46" i="3"/>
  <c r="E45" i="3"/>
  <c r="F45" i="3" s="1"/>
  <c r="C45" i="3"/>
  <c r="B45" i="3"/>
  <c r="E44" i="3"/>
  <c r="F44" i="3" s="1"/>
  <c r="B44" i="3"/>
  <c r="C44" i="3" s="1"/>
  <c r="E43" i="3"/>
  <c r="F43" i="3" s="1"/>
  <c r="B43" i="3"/>
  <c r="C43" i="3" s="1"/>
  <c r="E42" i="3"/>
  <c r="F42" i="3" s="1"/>
  <c r="C42" i="3"/>
  <c r="B42" i="3"/>
  <c r="F41" i="3"/>
  <c r="E41" i="3"/>
  <c r="B41" i="3"/>
  <c r="C41" i="3" s="1"/>
  <c r="E40" i="3"/>
  <c r="F40" i="3" s="1"/>
  <c r="B40" i="3"/>
  <c r="C40" i="3" s="1"/>
  <c r="E39" i="3"/>
  <c r="F39" i="3" s="1"/>
  <c r="B39" i="3"/>
  <c r="C39" i="3" s="1"/>
  <c r="E38" i="3"/>
  <c r="F38" i="3" s="1"/>
  <c r="C38" i="3"/>
  <c r="B38" i="3"/>
  <c r="E37" i="3"/>
  <c r="F37" i="3" s="1"/>
  <c r="B37" i="3"/>
  <c r="C37" i="3" s="1"/>
  <c r="E36" i="3"/>
  <c r="F36" i="3" s="1"/>
  <c r="C36" i="3"/>
  <c r="B36" i="3"/>
  <c r="E35" i="3"/>
  <c r="F35" i="3" s="1"/>
  <c r="C35" i="3"/>
  <c r="B35" i="3"/>
  <c r="E34" i="3"/>
  <c r="F34" i="3" s="1"/>
  <c r="B34" i="3"/>
  <c r="C34" i="3" s="1"/>
  <c r="E33" i="3"/>
  <c r="F33" i="3" s="1"/>
  <c r="B33" i="3"/>
  <c r="C33" i="3" s="1"/>
  <c r="E32" i="3"/>
  <c r="F32" i="3" s="1"/>
  <c r="C32" i="3"/>
  <c r="B32" i="3"/>
  <c r="E31" i="3"/>
  <c r="F31" i="3" s="1"/>
  <c r="B31" i="3"/>
  <c r="C31" i="3" s="1"/>
  <c r="E30" i="3"/>
  <c r="F30" i="3" s="1"/>
  <c r="B30" i="3"/>
  <c r="C30" i="3" s="1"/>
  <c r="E29" i="3"/>
  <c r="F29" i="3" s="1"/>
  <c r="B29" i="3"/>
  <c r="C29" i="3" s="1"/>
  <c r="E28" i="3"/>
  <c r="F28" i="3" s="1"/>
  <c r="B28" i="3"/>
  <c r="C28" i="3" s="1"/>
  <c r="E27" i="3"/>
  <c r="F27" i="3" s="1"/>
  <c r="C27" i="3"/>
  <c r="B27" i="3"/>
  <c r="F26" i="3"/>
  <c r="E26" i="3"/>
  <c r="B26" i="3"/>
  <c r="C26" i="3" s="1"/>
  <c r="E25" i="3"/>
  <c r="F25" i="3" s="1"/>
  <c r="B25" i="3"/>
  <c r="C25" i="3" s="1"/>
  <c r="F24" i="3"/>
  <c r="E24" i="3"/>
  <c r="B24" i="3"/>
  <c r="C24" i="3" s="1"/>
  <c r="E23" i="3"/>
  <c r="F23" i="3" s="1"/>
  <c r="C23" i="3"/>
  <c r="B23" i="3"/>
  <c r="E22" i="3"/>
  <c r="F22" i="3" s="1"/>
  <c r="B22" i="3"/>
  <c r="C22" i="3" s="1"/>
  <c r="E21" i="3"/>
  <c r="F21" i="3" s="1"/>
  <c r="C21" i="3"/>
  <c r="B21" i="3"/>
  <c r="E20" i="3"/>
  <c r="F20" i="3" s="1"/>
  <c r="B20" i="3"/>
  <c r="C20" i="3" s="1"/>
  <c r="E19" i="3"/>
  <c r="F19" i="3" s="1"/>
  <c r="B19" i="3"/>
  <c r="C19" i="3" s="1"/>
  <c r="E18" i="3"/>
  <c r="F18" i="3" s="1"/>
  <c r="C18" i="3"/>
  <c r="B18" i="3"/>
  <c r="E17" i="3"/>
  <c r="F17" i="3" s="1"/>
  <c r="B17" i="3"/>
  <c r="C17" i="3" s="1"/>
  <c r="E16" i="3"/>
  <c r="F16" i="3" s="1"/>
  <c r="C16" i="3"/>
  <c r="B16" i="3"/>
  <c r="E15" i="3"/>
  <c r="F15" i="3" s="1"/>
  <c r="C15" i="3"/>
  <c r="B15" i="3"/>
  <c r="E14" i="3"/>
  <c r="F14" i="3" s="1"/>
  <c r="C14" i="3"/>
  <c r="B14" i="3"/>
  <c r="E13" i="3"/>
  <c r="F13" i="3" s="1"/>
  <c r="B13" i="3"/>
  <c r="C13" i="3" s="1"/>
  <c r="F12" i="3"/>
  <c r="E12" i="3"/>
  <c r="B12" i="3"/>
  <c r="C12" i="3" s="1"/>
  <c r="F11" i="3"/>
  <c r="E11" i="3"/>
  <c r="B11" i="3"/>
  <c r="C11" i="3" s="1"/>
  <c r="E10" i="3"/>
  <c r="F10" i="3" s="1"/>
  <c r="B10" i="3"/>
  <c r="C10" i="3" s="1"/>
  <c r="F9" i="3"/>
  <c r="E9" i="3"/>
  <c r="B9" i="3"/>
  <c r="C9" i="3" s="1"/>
  <c r="E8" i="3"/>
  <c r="F8" i="3" s="1"/>
  <c r="B8" i="3"/>
  <c r="C8" i="3" s="1"/>
  <c r="E7" i="3"/>
  <c r="F7" i="3" s="1"/>
  <c r="B7" i="3"/>
  <c r="C7" i="3" s="1"/>
  <c r="F6" i="3"/>
  <c r="E6" i="3"/>
  <c r="B6" i="3"/>
  <c r="C6" i="3" s="1"/>
  <c r="E5" i="3"/>
  <c r="F5" i="3" s="1"/>
  <c r="C5" i="3"/>
  <c r="B5" i="3"/>
  <c r="F4" i="3"/>
  <c r="E4" i="3"/>
  <c r="B4" i="3"/>
  <c r="C4" i="3" s="1"/>
  <c r="E3" i="3"/>
  <c r="F3" i="3" s="1"/>
  <c r="C3" i="3"/>
  <c r="B3" i="3"/>
  <c r="F2" i="3"/>
  <c r="E2" i="3"/>
  <c r="B2" i="3"/>
  <c r="C2" i="3" s="1"/>
  <c r="D2" i="3" s="1"/>
  <c r="E51" i="2"/>
  <c r="F51" i="2" s="1"/>
  <c r="C51" i="2"/>
  <c r="B51" i="2"/>
  <c r="E50" i="2"/>
  <c r="F50" i="2" s="1"/>
  <c r="C50" i="2"/>
  <c r="B50" i="2"/>
  <c r="E49" i="2"/>
  <c r="F49" i="2" s="1"/>
  <c r="B49" i="2"/>
  <c r="C49" i="2" s="1"/>
  <c r="E48" i="2"/>
  <c r="F48" i="2" s="1"/>
  <c r="C48" i="2"/>
  <c r="B48" i="2"/>
  <c r="E47" i="2"/>
  <c r="F47" i="2" s="1"/>
  <c r="B47" i="2"/>
  <c r="C47" i="2" s="1"/>
  <c r="E46" i="2"/>
  <c r="F46" i="2" s="1"/>
  <c r="B46" i="2"/>
  <c r="C46" i="2" s="1"/>
  <c r="F45" i="2"/>
  <c r="E45" i="2"/>
  <c r="B45" i="2"/>
  <c r="C45" i="2" s="1"/>
  <c r="E44" i="2"/>
  <c r="F44" i="2" s="1"/>
  <c r="C44" i="2"/>
  <c r="B44" i="2"/>
  <c r="F43" i="2"/>
  <c r="E43" i="2"/>
  <c r="B43" i="2"/>
  <c r="C43" i="2" s="1"/>
  <c r="E42" i="2"/>
  <c r="F42" i="2" s="1"/>
  <c r="B42" i="2"/>
  <c r="C42" i="2" s="1"/>
  <c r="E41" i="2"/>
  <c r="F41" i="2" s="1"/>
  <c r="C41" i="2"/>
  <c r="B41" i="2"/>
  <c r="E40" i="2"/>
  <c r="F40" i="2" s="1"/>
  <c r="B40" i="2"/>
  <c r="C40" i="2" s="1"/>
  <c r="F39" i="2"/>
  <c r="E39" i="2"/>
  <c r="B39" i="2"/>
  <c r="C39" i="2" s="1"/>
  <c r="F38" i="2"/>
  <c r="E38" i="2"/>
  <c r="B38" i="2"/>
  <c r="C38" i="2" s="1"/>
  <c r="E37" i="2"/>
  <c r="F37" i="2" s="1"/>
  <c r="B37" i="2"/>
  <c r="C37" i="2" s="1"/>
  <c r="F36" i="2"/>
  <c r="E36" i="2"/>
  <c r="B36" i="2"/>
  <c r="C36" i="2" s="1"/>
  <c r="E35" i="2"/>
  <c r="F35" i="2" s="1"/>
  <c r="C35" i="2"/>
  <c r="B35" i="2"/>
  <c r="E34" i="2"/>
  <c r="F34" i="2" s="1"/>
  <c r="B34" i="2"/>
  <c r="C34" i="2" s="1"/>
  <c r="E33" i="2"/>
  <c r="F33" i="2" s="1"/>
  <c r="C33" i="2"/>
  <c r="B33" i="2"/>
  <c r="E32" i="2"/>
  <c r="F32" i="2" s="1"/>
  <c r="B32" i="2"/>
  <c r="C32" i="2" s="1"/>
  <c r="E31" i="2"/>
  <c r="F31" i="2" s="1"/>
  <c r="C31" i="2"/>
  <c r="B31" i="2"/>
  <c r="E30" i="2"/>
  <c r="F30" i="2" s="1"/>
  <c r="C30" i="2"/>
  <c r="B30" i="2"/>
  <c r="E29" i="2"/>
  <c r="F29" i="2" s="1"/>
  <c r="B29" i="2"/>
  <c r="C29" i="2" s="1"/>
  <c r="E28" i="2"/>
  <c r="F28" i="2" s="1"/>
  <c r="B28" i="2"/>
  <c r="C28" i="2" s="1"/>
  <c r="E27" i="2"/>
  <c r="F27" i="2" s="1"/>
  <c r="B27" i="2"/>
  <c r="C27" i="2" s="1"/>
  <c r="E26" i="2"/>
  <c r="F26" i="2" s="1"/>
  <c r="C26" i="2"/>
  <c r="B26" i="2"/>
  <c r="E25" i="2"/>
  <c r="F25" i="2" s="1"/>
  <c r="C25" i="2"/>
  <c r="B25" i="2"/>
  <c r="E24" i="2"/>
  <c r="F24" i="2" s="1"/>
  <c r="C24" i="2"/>
  <c r="B24" i="2"/>
  <c r="E23" i="2"/>
  <c r="F23" i="2" s="1"/>
  <c r="B23" i="2"/>
  <c r="C23" i="2" s="1"/>
  <c r="F22" i="2"/>
  <c r="E22" i="2"/>
  <c r="B22" i="2"/>
  <c r="C22" i="2" s="1"/>
  <c r="F21" i="2"/>
  <c r="E21" i="2"/>
  <c r="B21" i="2"/>
  <c r="C21" i="2" s="1"/>
  <c r="E20" i="2"/>
  <c r="F20" i="2" s="1"/>
  <c r="C20" i="2"/>
  <c r="B20" i="2"/>
  <c r="F19" i="2"/>
  <c r="E19" i="2"/>
  <c r="B19" i="2"/>
  <c r="C19" i="2" s="1"/>
  <c r="E18" i="2"/>
  <c r="F18" i="2" s="1"/>
  <c r="C18" i="2"/>
  <c r="B18" i="2"/>
  <c r="E17" i="2"/>
  <c r="F17" i="2" s="1"/>
  <c r="B17" i="2"/>
  <c r="C17" i="2" s="1"/>
  <c r="F16" i="2"/>
  <c r="E16" i="2"/>
  <c r="C16" i="2"/>
  <c r="B16" i="2"/>
  <c r="E15" i="2"/>
  <c r="F15" i="2" s="1"/>
  <c r="C15" i="2"/>
  <c r="B15" i="2"/>
  <c r="F14" i="2"/>
  <c r="E14" i="2"/>
  <c r="B14" i="2"/>
  <c r="C14" i="2" s="1"/>
  <c r="F13" i="2"/>
  <c r="E13" i="2"/>
  <c r="B13" i="2"/>
  <c r="C13" i="2" s="1"/>
  <c r="F12" i="2"/>
  <c r="E12" i="2"/>
  <c r="B12" i="2"/>
  <c r="C12" i="2" s="1"/>
  <c r="E11" i="2"/>
  <c r="F11" i="2" s="1"/>
  <c r="C11" i="2"/>
  <c r="B11" i="2"/>
  <c r="E10" i="2"/>
  <c r="F10" i="2" s="1"/>
  <c r="B10" i="2"/>
  <c r="C10" i="2" s="1"/>
  <c r="E9" i="2"/>
  <c r="F9" i="2" s="1"/>
  <c r="B9" i="2"/>
  <c r="C9" i="2" s="1"/>
  <c r="E8" i="2"/>
  <c r="F8" i="2" s="1"/>
  <c r="C8" i="2"/>
  <c r="B8" i="2"/>
  <c r="E7" i="2"/>
  <c r="F7" i="2" s="1"/>
  <c r="B7" i="2"/>
  <c r="C7" i="2" s="1"/>
  <c r="F6" i="2"/>
  <c r="E6" i="2"/>
  <c r="B6" i="2"/>
  <c r="C6" i="2" s="1"/>
  <c r="E5" i="2"/>
  <c r="F5" i="2" s="1"/>
  <c r="B5" i="2"/>
  <c r="C5" i="2" s="1"/>
  <c r="E4" i="2"/>
  <c r="F4" i="2" s="1"/>
  <c r="B4" i="2"/>
  <c r="C4" i="2" s="1"/>
  <c r="F3" i="2"/>
  <c r="E3" i="2"/>
  <c r="B3" i="2"/>
  <c r="C3" i="2" s="1"/>
  <c r="E2" i="2"/>
  <c r="F2" i="2" s="1"/>
  <c r="B2" i="2"/>
  <c r="C2" i="2" s="1"/>
  <c r="D2" i="2" s="1"/>
  <c r="E51" i="1"/>
  <c r="F51" i="1" s="1"/>
  <c r="B51" i="1"/>
  <c r="C51" i="1" s="1"/>
  <c r="E50" i="1"/>
  <c r="F50" i="1" s="1"/>
  <c r="B50" i="1"/>
  <c r="C50" i="1" s="1"/>
  <c r="E49" i="1"/>
  <c r="F49" i="1" s="1"/>
  <c r="B49" i="1"/>
  <c r="C49" i="1" s="1"/>
  <c r="E48" i="1"/>
  <c r="F48" i="1" s="1"/>
  <c r="B48" i="1"/>
  <c r="C48" i="1" s="1"/>
  <c r="F47" i="1"/>
  <c r="E47" i="1"/>
  <c r="B47" i="1"/>
  <c r="C47" i="1" s="1"/>
  <c r="F46" i="1"/>
  <c r="E46" i="1"/>
  <c r="C46" i="1"/>
  <c r="B46" i="1"/>
  <c r="E45" i="1"/>
  <c r="F45" i="1" s="1"/>
  <c r="B45" i="1"/>
  <c r="C45" i="1" s="1"/>
  <c r="E44" i="1"/>
  <c r="F44" i="1" s="1"/>
  <c r="B44" i="1"/>
  <c r="C44" i="1" s="1"/>
  <c r="E43" i="1"/>
  <c r="F43" i="1" s="1"/>
  <c r="C43" i="1"/>
  <c r="B43" i="1"/>
  <c r="F42" i="1"/>
  <c r="E42" i="1"/>
  <c r="B42" i="1"/>
  <c r="C42" i="1" s="1"/>
  <c r="E41" i="1"/>
  <c r="F41" i="1" s="1"/>
  <c r="C41" i="1"/>
  <c r="B41" i="1"/>
  <c r="F40" i="1"/>
  <c r="E40" i="1"/>
  <c r="C40" i="1"/>
  <c r="B40" i="1"/>
  <c r="E39" i="1"/>
  <c r="F39" i="1" s="1"/>
  <c r="B39" i="1"/>
  <c r="C39" i="1" s="1"/>
  <c r="E38" i="1"/>
  <c r="F38" i="1" s="1"/>
  <c r="B38" i="1"/>
  <c r="C38" i="1" s="1"/>
  <c r="E37" i="1"/>
  <c r="F37" i="1" s="1"/>
  <c r="B37" i="1"/>
  <c r="C37" i="1" s="1"/>
  <c r="E36" i="1"/>
  <c r="F36" i="1" s="1"/>
  <c r="C36" i="1"/>
  <c r="B36" i="1"/>
  <c r="E35" i="1"/>
  <c r="F35" i="1" s="1"/>
  <c r="C35" i="1"/>
  <c r="B35" i="1"/>
  <c r="E34" i="1"/>
  <c r="F34" i="1" s="1"/>
  <c r="C34" i="1"/>
  <c r="B34" i="1"/>
  <c r="E33" i="1"/>
  <c r="F33" i="1" s="1"/>
  <c r="C33" i="1"/>
  <c r="B33" i="1"/>
  <c r="F32" i="1"/>
  <c r="E32" i="1"/>
  <c r="C32" i="1"/>
  <c r="B32" i="1"/>
  <c r="E31" i="1"/>
  <c r="F31" i="1" s="1"/>
  <c r="C31" i="1"/>
  <c r="B31" i="1"/>
  <c r="E30" i="1"/>
  <c r="F30" i="1" s="1"/>
  <c r="C30" i="1"/>
  <c r="B30" i="1"/>
  <c r="E29" i="1"/>
  <c r="F29" i="1" s="1"/>
  <c r="B29" i="1"/>
  <c r="C29" i="1" s="1"/>
  <c r="E28" i="1"/>
  <c r="F28" i="1" s="1"/>
  <c r="C28" i="1"/>
  <c r="B28" i="1"/>
  <c r="F27" i="1"/>
  <c r="E27" i="1"/>
  <c r="C27" i="1"/>
  <c r="B27" i="1"/>
  <c r="E26" i="1"/>
  <c r="F26" i="1" s="1"/>
  <c r="C26" i="1"/>
  <c r="B26" i="1"/>
  <c r="E25" i="1"/>
  <c r="F25" i="1" s="1"/>
  <c r="B25" i="1"/>
  <c r="C25" i="1" s="1"/>
  <c r="E24" i="1"/>
  <c r="F24" i="1" s="1"/>
  <c r="C24" i="1"/>
  <c r="B24" i="1"/>
  <c r="F23" i="1"/>
  <c r="E23" i="1"/>
  <c r="C23" i="1"/>
  <c r="B23" i="1"/>
  <c r="E22" i="1"/>
  <c r="F22" i="1" s="1"/>
  <c r="B22" i="1"/>
  <c r="C22" i="1" s="1"/>
  <c r="F21" i="1"/>
  <c r="E21" i="1"/>
  <c r="B21" i="1"/>
  <c r="C21" i="1" s="1"/>
  <c r="E20" i="1"/>
  <c r="F20" i="1" s="1"/>
  <c r="C20" i="1"/>
  <c r="B20" i="1"/>
  <c r="E19" i="1"/>
  <c r="F19" i="1" s="1"/>
  <c r="B19" i="1"/>
  <c r="C19" i="1" s="1"/>
  <c r="E18" i="1"/>
  <c r="F18" i="1" s="1"/>
  <c r="B18" i="1"/>
  <c r="C18" i="1" s="1"/>
  <c r="E17" i="1"/>
  <c r="F17" i="1" s="1"/>
  <c r="B17" i="1"/>
  <c r="C17" i="1" s="1"/>
  <c r="F16" i="1"/>
  <c r="E16" i="1"/>
  <c r="B16" i="1"/>
  <c r="C16" i="1" s="1"/>
  <c r="F15" i="1"/>
  <c r="E15" i="1"/>
  <c r="C15" i="1"/>
  <c r="B15" i="1"/>
  <c r="E14" i="1"/>
  <c r="F14" i="1" s="1"/>
  <c r="C14" i="1"/>
  <c r="B14" i="1"/>
  <c r="F13" i="1"/>
  <c r="E13" i="1"/>
  <c r="B13" i="1"/>
  <c r="C13" i="1" s="1"/>
  <c r="F12" i="1"/>
  <c r="E12" i="1"/>
  <c r="B12" i="1"/>
  <c r="C12" i="1" s="1"/>
  <c r="E11" i="1"/>
  <c r="F11" i="1" s="1"/>
  <c r="B11" i="1"/>
  <c r="C11" i="1" s="1"/>
  <c r="E10" i="1"/>
  <c r="F10" i="1" s="1"/>
  <c r="C10" i="1"/>
  <c r="B10" i="1"/>
  <c r="E9" i="1"/>
  <c r="F9" i="1" s="1"/>
  <c r="B9" i="1"/>
  <c r="C9" i="1" s="1"/>
  <c r="E8" i="1"/>
  <c r="F8" i="1" s="1"/>
  <c r="B8" i="1"/>
  <c r="C8" i="1" s="1"/>
  <c r="F7" i="1"/>
  <c r="E7" i="1"/>
  <c r="C7" i="1"/>
  <c r="B7" i="1"/>
  <c r="E6" i="1"/>
  <c r="F6" i="1" s="1"/>
  <c r="C6" i="1"/>
  <c r="B6" i="1"/>
  <c r="E5" i="1"/>
  <c r="F5" i="1" s="1"/>
  <c r="B5" i="1"/>
  <c r="C5" i="1" s="1"/>
  <c r="E4" i="1"/>
  <c r="F4" i="1" s="1"/>
  <c r="B4" i="1"/>
  <c r="C4" i="1" s="1"/>
  <c r="F3" i="1"/>
  <c r="E3" i="1"/>
  <c r="B3" i="1"/>
  <c r="C3" i="1" s="1"/>
  <c r="E2" i="1"/>
  <c r="F2" i="1" s="1"/>
  <c r="C2" i="1"/>
  <c r="D2" i="1" s="1"/>
  <c r="B2" i="1"/>
  <c r="D3" i="2" l="1"/>
  <c r="G2" i="2"/>
  <c r="K2" i="2"/>
  <c r="D3" i="3"/>
  <c r="K2" i="3"/>
  <c r="G2" i="3"/>
  <c r="K2" i="1"/>
  <c r="G2" i="1"/>
  <c r="D3" i="1"/>
  <c r="D4" i="3" l="1"/>
  <c r="D4" i="1"/>
  <c r="J2" i="2"/>
  <c r="H2" i="2"/>
  <c r="I2" i="2" s="1"/>
  <c r="D4" i="2"/>
  <c r="G3" i="2"/>
  <c r="H2" i="1"/>
  <c r="I2" i="1" s="1"/>
  <c r="J2" i="1"/>
  <c r="H2" i="3"/>
  <c r="I2" i="3" s="1"/>
  <c r="J2" i="3"/>
  <c r="J3" i="2" l="1"/>
  <c r="H3" i="2"/>
  <c r="I3" i="2" s="1"/>
  <c r="K3" i="2"/>
  <c r="D5" i="2"/>
  <c r="G4" i="2"/>
  <c r="G3" i="1"/>
  <c r="D5" i="1"/>
  <c r="G3" i="3"/>
  <c r="D5" i="3"/>
  <c r="D6" i="3" l="1"/>
  <c r="J3" i="3"/>
  <c r="H3" i="3"/>
  <c r="K3" i="3"/>
  <c r="D6" i="1"/>
  <c r="J3" i="1"/>
  <c r="K3" i="1"/>
  <c r="H3" i="1"/>
  <c r="J4" i="2"/>
  <c r="K4" i="2"/>
  <c r="H4" i="2"/>
  <c r="I4" i="2" s="1"/>
  <c r="D6" i="2"/>
  <c r="G5" i="2"/>
  <c r="D7" i="2" l="1"/>
  <c r="J5" i="2"/>
  <c r="H5" i="2"/>
  <c r="I5" i="2" s="1"/>
  <c r="K5" i="2"/>
  <c r="I3" i="1"/>
  <c r="G4" i="1"/>
  <c r="D7" i="1"/>
  <c r="I3" i="3"/>
  <c r="G4" i="3"/>
  <c r="D7" i="3"/>
  <c r="D8" i="2" l="1"/>
  <c r="K4" i="3"/>
  <c r="H4" i="3"/>
  <c r="J4" i="3"/>
  <c r="D8" i="1"/>
  <c r="J4" i="1"/>
  <c r="K4" i="1"/>
  <c r="H4" i="1"/>
  <c r="G6" i="2"/>
  <c r="D8" i="3"/>
  <c r="K6" i="2" l="1"/>
  <c r="J6" i="2"/>
  <c r="H6" i="2"/>
  <c r="D9" i="3"/>
  <c r="D9" i="2"/>
  <c r="I4" i="1"/>
  <c r="G5" i="1"/>
  <c r="D9" i="1"/>
  <c r="I4" i="3"/>
  <c r="G5" i="3"/>
  <c r="J5" i="3" l="1"/>
  <c r="K5" i="3"/>
  <c r="H5" i="3"/>
  <c r="D10" i="1"/>
  <c r="J5" i="1"/>
  <c r="K5" i="1"/>
  <c r="H5" i="1"/>
  <c r="D10" i="2"/>
  <c r="D10" i="3"/>
  <c r="I6" i="2"/>
  <c r="G7" i="2"/>
  <c r="J7" i="2" l="1"/>
  <c r="K7" i="2"/>
  <c r="H7" i="2"/>
  <c r="I5" i="1"/>
  <c r="G6" i="1"/>
  <c r="I5" i="3"/>
  <c r="G6" i="3"/>
  <c r="D11" i="3"/>
  <c r="D11" i="2"/>
  <c r="D11" i="1"/>
  <c r="K6" i="1" l="1"/>
  <c r="J6" i="1"/>
  <c r="H6" i="1"/>
  <c r="I7" i="2"/>
  <c r="G8" i="2"/>
  <c r="D12" i="1"/>
  <c r="D12" i="2"/>
  <c r="D12" i="3"/>
  <c r="K6" i="3"/>
  <c r="J6" i="3"/>
  <c r="H6" i="3"/>
  <c r="I6" i="3" l="1"/>
  <c r="G7" i="3"/>
  <c r="D13" i="3"/>
  <c r="D13" i="2"/>
  <c r="D13" i="1"/>
  <c r="K8" i="2"/>
  <c r="J8" i="2"/>
  <c r="H8" i="2"/>
  <c r="I6" i="1"/>
  <c r="G7" i="1"/>
  <c r="J7" i="3" l="1"/>
  <c r="K7" i="3"/>
  <c r="H7" i="3"/>
  <c r="I8" i="2"/>
  <c r="G9" i="2"/>
  <c r="D14" i="2"/>
  <c r="D14" i="3"/>
  <c r="J7" i="1"/>
  <c r="H7" i="1"/>
  <c r="K7" i="1"/>
  <c r="D14" i="1"/>
  <c r="D15" i="3" l="1"/>
  <c r="D15" i="2"/>
  <c r="I7" i="1"/>
  <c r="G8" i="1"/>
  <c r="I7" i="3"/>
  <c r="G8" i="3"/>
  <c r="D15" i="1"/>
  <c r="J9" i="2"/>
  <c r="K9" i="2"/>
  <c r="H9" i="2"/>
  <c r="I9" i="2" l="1"/>
  <c r="G10" i="2"/>
  <c r="D16" i="1"/>
  <c r="K8" i="3"/>
  <c r="J8" i="3"/>
  <c r="H8" i="3"/>
  <c r="K8" i="1"/>
  <c r="J8" i="1"/>
  <c r="H8" i="1"/>
  <c r="D16" i="2"/>
  <c r="D16" i="3"/>
  <c r="I8" i="3" l="1"/>
  <c r="G9" i="3"/>
  <c r="D17" i="3"/>
  <c r="D17" i="2"/>
  <c r="I8" i="1"/>
  <c r="G9" i="1"/>
  <c r="D17" i="1"/>
  <c r="K10" i="2"/>
  <c r="H10" i="2"/>
  <c r="J10" i="2"/>
  <c r="I10" i="2" l="1"/>
  <c r="G11" i="2"/>
  <c r="D18" i="1"/>
  <c r="J9" i="1"/>
  <c r="H9" i="1"/>
  <c r="K9" i="1"/>
  <c r="D18" i="2"/>
  <c r="D18" i="3"/>
  <c r="J9" i="3"/>
  <c r="H9" i="3"/>
  <c r="K9" i="3"/>
  <c r="D19" i="3" l="1"/>
  <c r="I9" i="3"/>
  <c r="G10" i="3"/>
  <c r="D19" i="2"/>
  <c r="I9" i="1"/>
  <c r="G10" i="1"/>
  <c r="D19" i="1"/>
  <c r="J11" i="2"/>
  <c r="K11" i="2"/>
  <c r="H11" i="2"/>
  <c r="I11" i="2" l="1"/>
  <c r="G12" i="2"/>
  <c r="D20" i="1"/>
  <c r="K10" i="1"/>
  <c r="H10" i="1"/>
  <c r="J10" i="1"/>
  <c r="D20" i="2"/>
  <c r="K10" i="3"/>
  <c r="J10" i="3"/>
  <c r="H10" i="3"/>
  <c r="D20" i="3"/>
  <c r="D21" i="3" l="1"/>
  <c r="I10" i="3"/>
  <c r="G11" i="3"/>
  <c r="D21" i="2"/>
  <c r="I10" i="1"/>
  <c r="G11" i="1"/>
  <c r="D21" i="1"/>
  <c r="K12" i="2"/>
  <c r="H12" i="2"/>
  <c r="J12" i="2"/>
  <c r="D22" i="1" l="1"/>
  <c r="I12" i="2"/>
  <c r="G13" i="2"/>
  <c r="J11" i="1"/>
  <c r="K11" i="1"/>
  <c r="H11" i="1"/>
  <c r="D22" i="2"/>
  <c r="J11" i="3"/>
  <c r="H11" i="3"/>
  <c r="K11" i="3"/>
  <c r="D22" i="3"/>
  <c r="D23" i="3" l="1"/>
  <c r="I11" i="3"/>
  <c r="G12" i="3"/>
  <c r="D23" i="2"/>
  <c r="I11" i="1"/>
  <c r="G12" i="1"/>
  <c r="J13" i="2"/>
  <c r="K13" i="2"/>
  <c r="H13" i="2"/>
  <c r="D23" i="1"/>
  <c r="D24" i="1" l="1"/>
  <c r="I13" i="2"/>
  <c r="G14" i="2"/>
  <c r="J12" i="1"/>
  <c r="H12" i="1"/>
  <c r="K12" i="1"/>
  <c r="D24" i="2"/>
  <c r="K12" i="3"/>
  <c r="J12" i="3"/>
  <c r="H12" i="3"/>
  <c r="D24" i="3"/>
  <c r="D25" i="3" l="1"/>
  <c r="I12" i="3"/>
  <c r="G13" i="3"/>
  <c r="D25" i="2"/>
  <c r="I12" i="1"/>
  <c r="G13" i="1"/>
  <c r="H14" i="2"/>
  <c r="K14" i="2"/>
  <c r="J14" i="2"/>
  <c r="D25" i="1"/>
  <c r="D26" i="1" l="1"/>
  <c r="I14" i="2"/>
  <c r="G15" i="2"/>
  <c r="J13" i="1"/>
  <c r="H13" i="1"/>
  <c r="K13" i="1"/>
  <c r="D26" i="2"/>
  <c r="J13" i="3"/>
  <c r="K13" i="3"/>
  <c r="H13" i="3"/>
  <c r="D26" i="3"/>
  <c r="I13" i="3" l="1"/>
  <c r="G14" i="3"/>
  <c r="D27" i="2"/>
  <c r="I13" i="1"/>
  <c r="G14" i="1"/>
  <c r="D27" i="3"/>
  <c r="J15" i="2"/>
  <c r="K15" i="2"/>
  <c r="H15" i="2"/>
  <c r="D27" i="1"/>
  <c r="D28" i="3" l="1"/>
  <c r="D28" i="1"/>
  <c r="I15" i="2"/>
  <c r="G16" i="2"/>
  <c r="K14" i="1"/>
  <c r="J14" i="1"/>
  <c r="H14" i="1"/>
  <c r="D28" i="2"/>
  <c r="J14" i="3"/>
  <c r="H14" i="3"/>
  <c r="K14" i="3"/>
  <c r="D29" i="2" l="1"/>
  <c r="I14" i="1"/>
  <c r="G15" i="1"/>
  <c r="I14" i="3"/>
  <c r="G15" i="3"/>
  <c r="K16" i="2"/>
  <c r="J16" i="2"/>
  <c r="H16" i="2"/>
  <c r="D29" i="1"/>
  <c r="D29" i="3"/>
  <c r="J15" i="1" l="1"/>
  <c r="K15" i="1"/>
  <c r="H15" i="1"/>
  <c r="D30" i="3"/>
  <c r="D30" i="1"/>
  <c r="I16" i="2"/>
  <c r="G17" i="2"/>
  <c r="J15" i="3"/>
  <c r="K15" i="3"/>
  <c r="H15" i="3"/>
  <c r="D30" i="2"/>
  <c r="D31" i="1" l="1"/>
  <c r="I15" i="1"/>
  <c r="G16" i="1"/>
  <c r="J17" i="2"/>
  <c r="K17" i="2"/>
  <c r="H17" i="2"/>
  <c r="D31" i="3"/>
  <c r="D31" i="2"/>
  <c r="I15" i="3"/>
  <c r="G16" i="3"/>
  <c r="D32" i="1" l="1"/>
  <c r="D32" i="2"/>
  <c r="J16" i="3"/>
  <c r="K16" i="3"/>
  <c r="H16" i="3"/>
  <c r="D32" i="3"/>
  <c r="I17" i="2"/>
  <c r="G18" i="2"/>
  <c r="K16" i="1"/>
  <c r="J16" i="1"/>
  <c r="H16" i="1"/>
  <c r="I16" i="1" l="1"/>
  <c r="G17" i="1"/>
  <c r="I16" i="3"/>
  <c r="G17" i="3"/>
  <c r="K18" i="2"/>
  <c r="J18" i="2"/>
  <c r="H18" i="2"/>
  <c r="D33" i="3"/>
  <c r="D33" i="2"/>
  <c r="D33" i="1"/>
  <c r="D34" i="1" l="1"/>
  <c r="J17" i="3"/>
  <c r="H17" i="3"/>
  <c r="K17" i="3"/>
  <c r="D34" i="2"/>
  <c r="D34" i="3"/>
  <c r="I18" i="2"/>
  <c r="G19" i="2"/>
  <c r="J17" i="1"/>
  <c r="K17" i="1"/>
  <c r="H17" i="1"/>
  <c r="D35" i="2" l="1"/>
  <c r="I17" i="1"/>
  <c r="G18" i="1"/>
  <c r="J19" i="2"/>
  <c r="K19" i="2"/>
  <c r="H19" i="2"/>
  <c r="D35" i="3"/>
  <c r="I17" i="3"/>
  <c r="G18" i="3"/>
  <c r="D35" i="1"/>
  <c r="H18" i="3" l="1"/>
  <c r="K18" i="3"/>
  <c r="J18" i="3"/>
  <c r="D36" i="3"/>
  <c r="I19" i="2"/>
  <c r="G20" i="2"/>
  <c r="D36" i="1"/>
  <c r="K18" i="1"/>
  <c r="H18" i="1"/>
  <c r="J18" i="1"/>
  <c r="D36" i="2"/>
  <c r="D37" i="2" l="1"/>
  <c r="K20" i="2"/>
  <c r="J20" i="2"/>
  <c r="H20" i="2"/>
  <c r="I18" i="1"/>
  <c r="G19" i="1"/>
  <c r="D37" i="1"/>
  <c r="D37" i="3"/>
  <c r="I18" i="3"/>
  <c r="G19" i="3"/>
  <c r="D38" i="1" l="1"/>
  <c r="J19" i="3"/>
  <c r="K19" i="3"/>
  <c r="H19" i="3"/>
  <c r="D38" i="3"/>
  <c r="J19" i="1"/>
  <c r="K19" i="1"/>
  <c r="H19" i="1"/>
  <c r="I20" i="2"/>
  <c r="G21" i="2"/>
  <c r="D38" i="2"/>
  <c r="D39" i="3" l="1"/>
  <c r="I19" i="3"/>
  <c r="G20" i="3"/>
  <c r="D39" i="1"/>
  <c r="D39" i="2"/>
  <c r="J21" i="2"/>
  <c r="H21" i="2"/>
  <c r="K21" i="2"/>
  <c r="I19" i="1"/>
  <c r="G20" i="1"/>
  <c r="K20" i="3" l="1"/>
  <c r="H20" i="3"/>
  <c r="J20" i="3"/>
  <c r="D40" i="2"/>
  <c r="K20" i="1"/>
  <c r="H20" i="1"/>
  <c r="J20" i="1"/>
  <c r="I21" i="2"/>
  <c r="G22" i="2"/>
  <c r="D40" i="1"/>
  <c r="D40" i="3"/>
  <c r="D41" i="3" l="1"/>
  <c r="D41" i="1"/>
  <c r="J22" i="2"/>
  <c r="H22" i="2"/>
  <c r="K22" i="2"/>
  <c r="I20" i="1"/>
  <c r="G21" i="1"/>
  <c r="D41" i="2"/>
  <c r="I20" i="3"/>
  <c r="G21" i="3"/>
  <c r="J21" i="3" l="1"/>
  <c r="K21" i="3"/>
  <c r="H21" i="3"/>
  <c r="D42" i="2"/>
  <c r="J21" i="1"/>
  <c r="K21" i="1"/>
  <c r="H21" i="1"/>
  <c r="I22" i="2"/>
  <c r="G23" i="2"/>
  <c r="D42" i="1"/>
  <c r="D42" i="3"/>
  <c r="D43" i="3" l="1"/>
  <c r="D43" i="1"/>
  <c r="J23" i="2"/>
  <c r="K23" i="2"/>
  <c r="H23" i="2"/>
  <c r="I21" i="1"/>
  <c r="G22" i="1"/>
  <c r="D43" i="2"/>
  <c r="I21" i="3"/>
  <c r="G22" i="3"/>
  <c r="K22" i="3" l="1"/>
  <c r="J22" i="3"/>
  <c r="H22" i="3"/>
  <c r="I23" i="2"/>
  <c r="G24" i="2"/>
  <c r="D44" i="3"/>
  <c r="D44" i="2"/>
  <c r="D44" i="1"/>
  <c r="K22" i="1"/>
  <c r="H22" i="1"/>
  <c r="J22" i="1"/>
  <c r="D45" i="1" l="1"/>
  <c r="D45" i="3"/>
  <c r="J24" i="2"/>
  <c r="K24" i="2"/>
  <c r="H24" i="2"/>
  <c r="I22" i="3"/>
  <c r="G23" i="3"/>
  <c r="I22" i="1"/>
  <c r="G23" i="1"/>
  <c r="D45" i="2"/>
  <c r="J23" i="3" l="1"/>
  <c r="K23" i="3"/>
  <c r="H23" i="3"/>
  <c r="D46" i="2"/>
  <c r="J23" i="1"/>
  <c r="K23" i="1"/>
  <c r="H23" i="1"/>
  <c r="I24" i="2"/>
  <c r="G25" i="2"/>
  <c r="D46" i="3"/>
  <c r="D46" i="1"/>
  <c r="D47" i="1" l="1"/>
  <c r="J25" i="2"/>
  <c r="K25" i="2"/>
  <c r="H25" i="2"/>
  <c r="I23" i="3"/>
  <c r="G24" i="3"/>
  <c r="D47" i="3"/>
  <c r="I23" i="1"/>
  <c r="G24" i="1"/>
  <c r="D47" i="2"/>
  <c r="D48" i="2" l="1"/>
  <c r="J24" i="1"/>
  <c r="K24" i="1"/>
  <c r="H24" i="1"/>
  <c r="D48" i="3"/>
  <c r="K24" i="3"/>
  <c r="J24" i="3"/>
  <c r="H24" i="3"/>
  <c r="I25" i="2"/>
  <c r="G26" i="2"/>
  <c r="D48" i="1"/>
  <c r="J26" i="2" l="1"/>
  <c r="K26" i="2"/>
  <c r="H26" i="2"/>
  <c r="I24" i="3"/>
  <c r="G25" i="3"/>
  <c r="D49" i="3"/>
  <c r="D49" i="1"/>
  <c r="I24" i="1"/>
  <c r="G25" i="1"/>
  <c r="D49" i="2"/>
  <c r="J25" i="1" l="1"/>
  <c r="K25" i="1"/>
  <c r="H25" i="1"/>
  <c r="D50" i="2"/>
  <c r="I26" i="2"/>
  <c r="G27" i="2"/>
  <c r="D50" i="1"/>
  <c r="D50" i="3"/>
  <c r="J25" i="3"/>
  <c r="H25" i="3"/>
  <c r="K25" i="3"/>
  <c r="I25" i="3" l="1"/>
  <c r="G26" i="3"/>
  <c r="D51" i="1"/>
  <c r="D51" i="3"/>
  <c r="J27" i="2"/>
  <c r="H27" i="2"/>
  <c r="K27" i="2"/>
  <c r="D51" i="2"/>
  <c r="I25" i="1"/>
  <c r="G26" i="1"/>
  <c r="I27" i="2" l="1"/>
  <c r="G28" i="2"/>
  <c r="K26" i="1"/>
  <c r="H26" i="1"/>
  <c r="J26" i="1"/>
  <c r="K26" i="3"/>
  <c r="J26" i="3"/>
  <c r="H26" i="3"/>
  <c r="I26" i="1" l="1"/>
  <c r="G27" i="1"/>
  <c r="H28" i="2"/>
  <c r="K28" i="2"/>
  <c r="J28" i="2"/>
  <c r="I26" i="3"/>
  <c r="G27" i="3"/>
  <c r="I28" i="2" l="1"/>
  <c r="G29" i="2"/>
  <c r="J27" i="3"/>
  <c r="H27" i="3"/>
  <c r="K27" i="3"/>
  <c r="J27" i="1"/>
  <c r="K27" i="1"/>
  <c r="H27" i="1"/>
  <c r="I27" i="1" l="1"/>
  <c r="G28" i="1"/>
  <c r="I27" i="3"/>
  <c r="G28" i="3"/>
  <c r="J29" i="2"/>
  <c r="K29" i="2"/>
  <c r="H29" i="2"/>
  <c r="I29" i="2" l="1"/>
  <c r="G30" i="2"/>
  <c r="H28" i="3"/>
  <c r="J28" i="3"/>
  <c r="K28" i="3"/>
  <c r="K28" i="1"/>
  <c r="J28" i="1"/>
  <c r="H28" i="1"/>
  <c r="I28" i="1" l="1"/>
  <c r="G29" i="1"/>
  <c r="I28" i="3"/>
  <c r="G29" i="3"/>
  <c r="K30" i="2"/>
  <c r="H30" i="2"/>
  <c r="J30" i="2"/>
  <c r="I30" i="2" l="1"/>
  <c r="G31" i="2"/>
  <c r="J29" i="3"/>
  <c r="K29" i="3"/>
  <c r="H29" i="3"/>
  <c r="J29" i="1"/>
  <c r="K29" i="1"/>
  <c r="H29" i="1"/>
  <c r="I29" i="1" l="1"/>
  <c r="G30" i="1"/>
  <c r="I29" i="3"/>
  <c r="G30" i="3"/>
  <c r="J31" i="2"/>
  <c r="K31" i="2"/>
  <c r="H31" i="2"/>
  <c r="I31" i="2" l="1"/>
  <c r="G32" i="2"/>
  <c r="K30" i="3"/>
  <c r="J30" i="3"/>
  <c r="H30" i="3"/>
  <c r="K30" i="1"/>
  <c r="J30" i="1"/>
  <c r="H30" i="1"/>
  <c r="I30" i="1" l="1"/>
  <c r="G31" i="1"/>
  <c r="K32" i="2"/>
  <c r="J32" i="2"/>
  <c r="H32" i="2"/>
  <c r="I30" i="3"/>
  <c r="G31" i="3"/>
  <c r="J31" i="3" l="1"/>
  <c r="K31" i="3"/>
  <c r="H31" i="3"/>
  <c r="I32" i="2"/>
  <c r="G33" i="2"/>
  <c r="J31" i="1"/>
  <c r="H31" i="1"/>
  <c r="K31" i="1"/>
  <c r="J33" i="2" l="1"/>
  <c r="K33" i="2"/>
  <c r="H33" i="2"/>
  <c r="I31" i="3"/>
  <c r="G32" i="3"/>
  <c r="I31" i="1"/>
  <c r="G32" i="1"/>
  <c r="K32" i="1" l="1"/>
  <c r="H32" i="1"/>
  <c r="J32" i="1"/>
  <c r="K32" i="3"/>
  <c r="J32" i="3"/>
  <c r="H32" i="3"/>
  <c r="I33" i="2"/>
  <c r="G34" i="2"/>
  <c r="I32" i="1" l="1"/>
  <c r="G33" i="1"/>
  <c r="H34" i="2"/>
  <c r="K34" i="2"/>
  <c r="J34" i="2"/>
  <c r="I32" i="3"/>
  <c r="G33" i="3"/>
  <c r="J33" i="3" l="1"/>
  <c r="K33" i="3"/>
  <c r="H33" i="3"/>
  <c r="I34" i="2"/>
  <c r="G35" i="2"/>
  <c r="J33" i="1"/>
  <c r="K33" i="1"/>
  <c r="H33" i="1"/>
  <c r="I33" i="1" l="1"/>
  <c r="G34" i="1"/>
  <c r="J35" i="2"/>
  <c r="H35" i="2"/>
  <c r="K35" i="2"/>
  <c r="I33" i="3"/>
  <c r="G34" i="3"/>
  <c r="I35" i="2" l="1"/>
  <c r="G36" i="2"/>
  <c r="K34" i="3"/>
  <c r="H34" i="3"/>
  <c r="J34" i="3"/>
  <c r="H34" i="1"/>
  <c r="K34" i="1"/>
  <c r="J34" i="1"/>
  <c r="I34" i="1" l="1"/>
  <c r="G35" i="1"/>
  <c r="I34" i="3"/>
  <c r="G35" i="3"/>
  <c r="K36" i="2"/>
  <c r="J36" i="2"/>
  <c r="H36" i="2"/>
  <c r="J35" i="3" l="1"/>
  <c r="K35" i="3"/>
  <c r="H35" i="3"/>
  <c r="I36" i="2"/>
  <c r="G37" i="2"/>
  <c r="J35" i="1"/>
  <c r="K35" i="1"/>
  <c r="H35" i="1"/>
  <c r="I35" i="1" l="1"/>
  <c r="G36" i="1"/>
  <c r="J37" i="2"/>
  <c r="H37" i="2"/>
  <c r="K37" i="2"/>
  <c r="I35" i="3"/>
  <c r="G36" i="3"/>
  <c r="K36" i="3" l="1"/>
  <c r="J36" i="3"/>
  <c r="H36" i="3"/>
  <c r="I37" i="2"/>
  <c r="G38" i="2"/>
  <c r="J36" i="1"/>
  <c r="K36" i="1"/>
  <c r="H36" i="1"/>
  <c r="I36" i="1" l="1"/>
  <c r="G37" i="1"/>
  <c r="H38" i="2"/>
  <c r="K38" i="2"/>
  <c r="J38" i="2"/>
  <c r="I36" i="3"/>
  <c r="G37" i="3"/>
  <c r="J37" i="1" l="1"/>
  <c r="K37" i="1"/>
  <c r="H37" i="1"/>
  <c r="J37" i="3"/>
  <c r="K37" i="3"/>
  <c r="H37" i="3"/>
  <c r="I38" i="2"/>
  <c r="G39" i="2"/>
  <c r="I37" i="3" l="1"/>
  <c r="G38" i="3"/>
  <c r="J39" i="2"/>
  <c r="K39" i="2"/>
  <c r="H39" i="2"/>
  <c r="I37" i="1"/>
  <c r="G38" i="1"/>
  <c r="I39" i="2" l="1"/>
  <c r="G40" i="2"/>
  <c r="H38" i="1"/>
  <c r="K38" i="1"/>
  <c r="J38" i="1"/>
  <c r="K38" i="3"/>
  <c r="J38" i="3"/>
  <c r="H38" i="3"/>
  <c r="I38" i="3" l="1"/>
  <c r="G39" i="3"/>
  <c r="K40" i="2"/>
  <c r="H40" i="2"/>
  <c r="J40" i="2"/>
  <c r="I38" i="1"/>
  <c r="G39" i="1"/>
  <c r="J39" i="1" l="1"/>
  <c r="K39" i="1"/>
  <c r="H39" i="1"/>
  <c r="I40" i="2"/>
  <c r="G41" i="2"/>
  <c r="J39" i="3"/>
  <c r="K39" i="3"/>
  <c r="H39" i="3"/>
  <c r="I39" i="3" l="1"/>
  <c r="G40" i="3"/>
  <c r="J41" i="2"/>
  <c r="K41" i="2"/>
  <c r="H41" i="2"/>
  <c r="I39" i="1"/>
  <c r="G40" i="1"/>
  <c r="K40" i="1" l="1"/>
  <c r="H40" i="1"/>
  <c r="J40" i="1"/>
  <c r="K40" i="3"/>
  <c r="J40" i="3"/>
  <c r="H40" i="3"/>
  <c r="I41" i="2"/>
  <c r="G42" i="2"/>
  <c r="I40" i="3" l="1"/>
  <c r="G41" i="3"/>
  <c r="I40" i="1"/>
  <c r="G41" i="1"/>
  <c r="J42" i="2"/>
  <c r="K42" i="2"/>
  <c r="H42" i="2"/>
  <c r="I42" i="2" l="1"/>
  <c r="G43" i="2"/>
  <c r="J41" i="3"/>
  <c r="K41" i="3"/>
  <c r="H41" i="3"/>
  <c r="J41" i="1"/>
  <c r="K41" i="1"/>
  <c r="H41" i="1"/>
  <c r="I41" i="1" l="1"/>
  <c r="G42" i="1"/>
  <c r="I41" i="3"/>
  <c r="G42" i="3"/>
  <c r="J43" i="2"/>
  <c r="K43" i="2"/>
  <c r="H43" i="2"/>
  <c r="K42" i="3" l="1"/>
  <c r="J42" i="3"/>
  <c r="H42" i="3"/>
  <c r="I43" i="2"/>
  <c r="G44" i="2"/>
  <c r="K42" i="1"/>
  <c r="J42" i="1"/>
  <c r="H42" i="1"/>
  <c r="I42" i="1" l="1"/>
  <c r="G43" i="1"/>
  <c r="J44" i="2"/>
  <c r="K44" i="2"/>
  <c r="H44" i="2"/>
  <c r="I42" i="3"/>
  <c r="G43" i="3"/>
  <c r="I44" i="2" l="1"/>
  <c r="G45" i="2"/>
  <c r="J43" i="3"/>
  <c r="K43" i="3"/>
  <c r="H43" i="3"/>
  <c r="J43" i="1"/>
  <c r="K43" i="1"/>
  <c r="H43" i="1"/>
  <c r="I43" i="1" l="1"/>
  <c r="G44" i="1"/>
  <c r="I43" i="3"/>
  <c r="G44" i="3"/>
  <c r="J45" i="2"/>
  <c r="H45" i="2"/>
  <c r="K45" i="2"/>
  <c r="I45" i="2" l="1"/>
  <c r="G46" i="2"/>
  <c r="K44" i="3"/>
  <c r="J44" i="3"/>
  <c r="H44" i="3"/>
  <c r="K44" i="1"/>
  <c r="J44" i="1"/>
  <c r="H44" i="1"/>
  <c r="I44" i="3" l="1"/>
  <c r="G45" i="3"/>
  <c r="I44" i="1"/>
  <c r="G45" i="1"/>
  <c r="K46" i="2"/>
  <c r="J46" i="2"/>
  <c r="H46" i="2"/>
  <c r="I46" i="2" l="1"/>
  <c r="G47" i="2"/>
  <c r="J45" i="1"/>
  <c r="H45" i="1"/>
  <c r="K45" i="1"/>
  <c r="J45" i="3"/>
  <c r="K45" i="3"/>
  <c r="H45" i="3"/>
  <c r="I45" i="3" l="1"/>
  <c r="G46" i="3"/>
  <c r="I45" i="1"/>
  <c r="G46" i="1"/>
  <c r="J47" i="2"/>
  <c r="K47" i="2"/>
  <c r="H47" i="2"/>
  <c r="J46" i="1" l="1"/>
  <c r="K46" i="1"/>
  <c r="H46" i="1"/>
  <c r="I47" i="2"/>
  <c r="G48" i="2"/>
  <c r="K46" i="3"/>
  <c r="J46" i="3"/>
  <c r="H46" i="3"/>
  <c r="I46" i="3" l="1"/>
  <c r="G47" i="3"/>
  <c r="K48" i="2"/>
  <c r="J48" i="2"/>
  <c r="H48" i="2"/>
  <c r="I46" i="1"/>
  <c r="G47" i="1"/>
  <c r="J47" i="1" l="1"/>
  <c r="H47" i="1"/>
  <c r="K47" i="1"/>
  <c r="I48" i="2"/>
  <c r="G49" i="2"/>
  <c r="J47" i="3"/>
  <c r="K47" i="3"/>
  <c r="H47" i="3"/>
  <c r="I47" i="3" l="1"/>
  <c r="G48" i="3"/>
  <c r="I47" i="1"/>
  <c r="G48" i="1"/>
  <c r="J49" i="2"/>
  <c r="K49" i="2"/>
  <c r="H49" i="2"/>
  <c r="I49" i="2" l="1"/>
  <c r="G50" i="2"/>
  <c r="H48" i="1"/>
  <c r="J48" i="1"/>
  <c r="K48" i="1"/>
  <c r="K48" i="3"/>
  <c r="J48" i="3"/>
  <c r="H48" i="3"/>
  <c r="I48" i="1" l="1"/>
  <c r="G49" i="1"/>
  <c r="I48" i="3"/>
  <c r="G49" i="3"/>
  <c r="K50" i="2"/>
  <c r="J50" i="2"/>
  <c r="H50" i="2"/>
  <c r="I50" i="2" l="1"/>
  <c r="G51" i="2"/>
  <c r="J49" i="1"/>
  <c r="K49" i="1"/>
  <c r="H49" i="1"/>
  <c r="J49" i="3"/>
  <c r="K49" i="3"/>
  <c r="H49" i="3"/>
  <c r="I49" i="3" l="1"/>
  <c r="G50" i="3"/>
  <c r="I49" i="1"/>
  <c r="G50" i="1"/>
  <c r="J51" i="2"/>
  <c r="C4" i="4" s="1"/>
  <c r="K51" i="2"/>
  <c r="C3" i="4" s="1"/>
  <c r="H51" i="2"/>
  <c r="I51" i="2" s="1"/>
  <c r="C2" i="4" s="1"/>
  <c r="K50" i="1" l="1"/>
  <c r="J50" i="1"/>
  <c r="H50" i="1"/>
  <c r="K50" i="3"/>
  <c r="J50" i="3"/>
  <c r="H50" i="3"/>
  <c r="I50" i="3" l="1"/>
  <c r="G51" i="3"/>
  <c r="I50" i="1"/>
  <c r="G51" i="1"/>
  <c r="J51" i="1" l="1"/>
  <c r="B4" i="4" s="1"/>
  <c r="K51" i="1"/>
  <c r="B3" i="4" s="1"/>
  <c r="H51" i="1"/>
  <c r="I51" i="1" s="1"/>
  <c r="B2" i="4" s="1"/>
  <c r="K51" i="3"/>
  <c r="D3" i="4" s="1"/>
  <c r="J51" i="3"/>
  <c r="D4" i="4" s="1"/>
  <c r="H51" i="3"/>
  <c r="I51" i="3" s="1"/>
  <c r="D2" i="4" s="1"/>
</calcChain>
</file>

<file path=xl/sharedStrings.xml><?xml version="1.0" encoding="utf-8"?>
<sst xmlns="http://schemas.openxmlformats.org/spreadsheetml/2006/main" count="40" uniqueCount="18">
  <si>
    <t>Cliente</t>
  </si>
  <si>
    <t>Aleatorio Arribo</t>
  </si>
  <si>
    <t>Tiempo entre llegadas (min)</t>
  </si>
  <si>
    <t>Tiempo de llegada</t>
  </si>
  <si>
    <t>Aleatorio Servicio</t>
  </si>
  <si>
    <t>Tiempo de servicio (min)</t>
  </si>
  <si>
    <t>Inicio de servicio</t>
  </si>
  <si>
    <t>Fin de servicio</t>
  </si>
  <si>
    <t>Tiempo en sistema (min)</t>
  </si>
  <si>
    <t>Tiempo de espera (min)</t>
  </si>
  <si>
    <t>Tiempo desocupado cajero (min)</t>
  </si>
  <si>
    <t>Métrica</t>
  </si>
  <si>
    <t>Caso Base (U-U)</t>
  </si>
  <si>
    <t>Escenario 1 (Exp-U)</t>
  </si>
  <si>
    <t>Escenario 2 (U-Norm)</t>
  </si>
  <si>
    <t>Tiempo Promedio en Sistema (min)</t>
  </si>
  <si>
    <t>Tiempo Desocupado Total Cajero (min)</t>
  </si>
  <si>
    <t>Tiempo Promedio de Espera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</si>
</sst>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C10" sqref="C10"/>
    </sheetView>
  </sheetViews>
  <sheetFormatPr baseColWidth="10" defaultColWidth="9.06640625" defaultRowHeight="14.25" x14ac:dyDescent="0.45"/>
  <cols>
    <col min="1" max="1" width="9" customWidth="1"/>
    <col min="2" max="2" width="18" customWidth="1"/>
    <col min="3" max="3" width="29" customWidth="1"/>
    <col min="4" max="4" width="19" customWidth="1"/>
    <col min="5" max="5" width="20" customWidth="1"/>
    <col min="6" max="6" width="26" customWidth="1"/>
    <col min="7" max="7" width="20" customWidth="1"/>
    <col min="8" max="8" width="17" customWidth="1"/>
    <col min="9" max="9" width="25" customWidth="1"/>
    <col min="10" max="10" width="24" customWidth="1"/>
    <col min="11" max="11" width="32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1</v>
      </c>
      <c r="B2" s="2">
        <f t="shared" ref="B2:B33" ca="1" si="0">RAND()</f>
        <v>0.90907496984759995</v>
      </c>
      <c r="C2" s="3">
        <f t="shared" ref="C2:C33" ca="1" si="1">1 + (10-1)*B2</f>
        <v>9.1816747286283995</v>
      </c>
      <c r="D2" s="3">
        <f ca="1">C2</f>
        <v>9.1816747286283995</v>
      </c>
      <c r="E2" s="3">
        <f t="shared" ref="E2:E33" ca="1" si="2">RAND()</f>
        <v>1.7400948913519176E-2</v>
      </c>
      <c r="F2" s="3">
        <f t="shared" ref="F2:F33" ca="1" si="3">1 + (6-1)*E2</f>
        <v>1.0870047445675959</v>
      </c>
      <c r="G2" s="3">
        <f ca="1">D2</f>
        <v>9.1816747286283995</v>
      </c>
      <c r="H2" s="3">
        <f t="shared" ref="H2:H33" ca="1" si="4">G2+F2</f>
        <v>10.268679473195995</v>
      </c>
      <c r="I2" s="3">
        <f t="shared" ref="I2:I33" ca="1" si="5">H2-D2</f>
        <v>1.0870047445675954</v>
      </c>
      <c r="J2" s="3">
        <f t="shared" ref="J2:J33" ca="1" si="6">G2-D2</f>
        <v>0</v>
      </c>
      <c r="K2" s="3">
        <f ca="1">D2</f>
        <v>9.1816747286283995</v>
      </c>
    </row>
    <row r="3" spans="1:11" x14ac:dyDescent="0.45">
      <c r="A3">
        <v>2</v>
      </c>
      <c r="B3" s="2">
        <f t="shared" ca="1" si="0"/>
        <v>0.28206540049574524</v>
      </c>
      <c r="C3" s="3">
        <f t="shared" ca="1" si="1"/>
        <v>3.5385886044617072</v>
      </c>
      <c r="D3" s="3">
        <f t="shared" ref="D3:D34" ca="1" si="7">D2+C3</f>
        <v>12.720263333090106</v>
      </c>
      <c r="E3" s="3">
        <f t="shared" ca="1" si="2"/>
        <v>0.53494745452973314</v>
      </c>
      <c r="F3" s="3">
        <f t="shared" ca="1" si="3"/>
        <v>3.6747372726486658</v>
      </c>
      <c r="G3" s="3">
        <f t="shared" ref="G3:G34" ca="1" si="8">MAX(D3, H2)</f>
        <v>12.720263333090106</v>
      </c>
      <c r="H3" s="3">
        <f t="shared" ca="1" si="4"/>
        <v>16.395000605738772</v>
      </c>
      <c r="I3" s="3">
        <f t="shared" ca="1" si="5"/>
        <v>3.6747372726486667</v>
      </c>
      <c r="J3" s="3">
        <f t="shared" ca="1" si="6"/>
        <v>0</v>
      </c>
      <c r="K3" s="3">
        <f t="shared" ref="K3:K34" ca="1" si="9">MAX(0, G3-H2)</f>
        <v>2.4515838598941109</v>
      </c>
    </row>
    <row r="4" spans="1:11" x14ac:dyDescent="0.45">
      <c r="A4">
        <v>3</v>
      </c>
      <c r="B4" s="2">
        <f t="shared" ca="1" si="0"/>
        <v>0.16458107608364059</v>
      </c>
      <c r="C4" s="3">
        <f t="shared" ca="1" si="1"/>
        <v>2.4812296847527655</v>
      </c>
      <c r="D4" s="3">
        <f t="shared" ca="1" si="7"/>
        <v>15.201493017842871</v>
      </c>
      <c r="E4" s="3">
        <f t="shared" ca="1" si="2"/>
        <v>0.42217709833717909</v>
      </c>
      <c r="F4" s="3">
        <f t="shared" ca="1" si="3"/>
        <v>3.1108854916858952</v>
      </c>
      <c r="G4" s="3">
        <f t="shared" ca="1" si="8"/>
        <v>16.395000605738772</v>
      </c>
      <c r="H4" s="3">
        <f t="shared" ca="1" si="4"/>
        <v>19.505886097424668</v>
      </c>
      <c r="I4" s="3">
        <f t="shared" ca="1" si="5"/>
        <v>4.3043930795817964</v>
      </c>
      <c r="J4" s="3">
        <f t="shared" ca="1" si="6"/>
        <v>1.1935075878959012</v>
      </c>
      <c r="K4" s="3">
        <f t="shared" ca="1" si="9"/>
        <v>0</v>
      </c>
    </row>
    <row r="5" spans="1:11" x14ac:dyDescent="0.45">
      <c r="A5">
        <v>4</v>
      </c>
      <c r="B5" s="2">
        <f t="shared" ca="1" si="0"/>
        <v>0.6116198871177374</v>
      </c>
      <c r="C5" s="3">
        <f t="shared" ca="1" si="1"/>
        <v>6.5045789840596369</v>
      </c>
      <c r="D5" s="3">
        <f t="shared" ca="1" si="7"/>
        <v>21.706072001902509</v>
      </c>
      <c r="E5" s="3">
        <f t="shared" ca="1" si="2"/>
        <v>0.92589577049948979</v>
      </c>
      <c r="F5" s="3">
        <f t="shared" ca="1" si="3"/>
        <v>5.6294788524974493</v>
      </c>
      <c r="G5" s="3">
        <f t="shared" ca="1" si="8"/>
        <v>21.706072001902509</v>
      </c>
      <c r="H5" s="3">
        <f t="shared" ca="1" si="4"/>
        <v>27.335550854399958</v>
      </c>
      <c r="I5" s="3">
        <f t="shared" ca="1" si="5"/>
        <v>5.6294788524974493</v>
      </c>
      <c r="J5" s="3">
        <f t="shared" ca="1" si="6"/>
        <v>0</v>
      </c>
      <c r="K5" s="3">
        <f t="shared" ca="1" si="9"/>
        <v>2.2001859044778413</v>
      </c>
    </row>
    <row r="6" spans="1:11" x14ac:dyDescent="0.45">
      <c r="A6">
        <v>5</v>
      </c>
      <c r="B6" s="2">
        <f t="shared" ca="1" si="0"/>
        <v>0.25722327420506308</v>
      </c>
      <c r="C6" s="3">
        <f t="shared" ca="1" si="1"/>
        <v>3.3150094678455675</v>
      </c>
      <c r="D6" s="3">
        <f t="shared" ca="1" si="7"/>
        <v>25.021081469748076</v>
      </c>
      <c r="E6" s="3">
        <f t="shared" ca="1" si="2"/>
        <v>0.57599141253500052</v>
      </c>
      <c r="F6" s="3">
        <f t="shared" ca="1" si="3"/>
        <v>3.8799570626750026</v>
      </c>
      <c r="G6" s="3">
        <f t="shared" ca="1" si="8"/>
        <v>27.335550854399958</v>
      </c>
      <c r="H6" s="3">
        <f t="shared" ca="1" si="4"/>
        <v>31.215507917074962</v>
      </c>
      <c r="I6" s="3">
        <f t="shared" ca="1" si="5"/>
        <v>6.1944264473268866</v>
      </c>
      <c r="J6" s="3">
        <f t="shared" ca="1" si="6"/>
        <v>2.3144693846518827</v>
      </c>
      <c r="K6" s="3">
        <f t="shared" ca="1" si="9"/>
        <v>0</v>
      </c>
    </row>
    <row r="7" spans="1:11" x14ac:dyDescent="0.45">
      <c r="A7">
        <v>6</v>
      </c>
      <c r="B7" s="2">
        <f t="shared" ca="1" si="0"/>
        <v>2.6328912494643752E-2</v>
      </c>
      <c r="C7" s="3">
        <f t="shared" ca="1" si="1"/>
        <v>1.2369602124517938</v>
      </c>
      <c r="D7" s="3">
        <f t="shared" ca="1" si="7"/>
        <v>26.25804168219987</v>
      </c>
      <c r="E7" s="3">
        <f t="shared" ca="1" si="2"/>
        <v>0.89810046939522492</v>
      </c>
      <c r="F7" s="3">
        <f t="shared" ca="1" si="3"/>
        <v>5.4905023469761245</v>
      </c>
      <c r="G7" s="3">
        <f t="shared" ca="1" si="8"/>
        <v>31.215507917074962</v>
      </c>
      <c r="H7" s="3">
        <f t="shared" ca="1" si="4"/>
        <v>36.706010264051088</v>
      </c>
      <c r="I7" s="3">
        <f t="shared" ca="1" si="5"/>
        <v>10.447968581851217</v>
      </c>
      <c r="J7" s="3">
        <f t="shared" ca="1" si="6"/>
        <v>4.957466234875092</v>
      </c>
      <c r="K7" s="3">
        <f t="shared" ca="1" si="9"/>
        <v>0</v>
      </c>
    </row>
    <row r="8" spans="1:11" x14ac:dyDescent="0.45">
      <c r="A8">
        <v>7</v>
      </c>
      <c r="B8" s="2">
        <f t="shared" ca="1" si="0"/>
        <v>9.241285541057398E-2</v>
      </c>
      <c r="C8" s="3">
        <f t="shared" ca="1" si="1"/>
        <v>1.8317156986951657</v>
      </c>
      <c r="D8" s="3">
        <f t="shared" ca="1" si="7"/>
        <v>28.089757380895037</v>
      </c>
      <c r="E8" s="3">
        <f t="shared" ca="1" si="2"/>
        <v>7.3835805133461885E-2</v>
      </c>
      <c r="F8" s="3">
        <f t="shared" ca="1" si="3"/>
        <v>1.3691790256673095</v>
      </c>
      <c r="G8" s="3">
        <f t="shared" ca="1" si="8"/>
        <v>36.706010264051088</v>
      </c>
      <c r="H8" s="3">
        <f t="shared" ca="1" si="4"/>
        <v>38.075189289718395</v>
      </c>
      <c r="I8" s="3">
        <f t="shared" ca="1" si="5"/>
        <v>9.9854319088233581</v>
      </c>
      <c r="J8" s="3">
        <f t="shared" ca="1" si="6"/>
        <v>8.6162528831560508</v>
      </c>
      <c r="K8" s="3">
        <f t="shared" ca="1" si="9"/>
        <v>0</v>
      </c>
    </row>
    <row r="9" spans="1:11" x14ac:dyDescent="0.45">
      <c r="A9">
        <v>8</v>
      </c>
      <c r="B9" s="2">
        <f t="shared" ca="1" si="0"/>
        <v>0.48291762536360849</v>
      </c>
      <c r="C9" s="3">
        <f t="shared" ca="1" si="1"/>
        <v>5.3462586282724764</v>
      </c>
      <c r="D9" s="3">
        <f t="shared" ca="1" si="7"/>
        <v>33.436016009167517</v>
      </c>
      <c r="E9" s="3">
        <f t="shared" ca="1" si="2"/>
        <v>0.94574791903793387</v>
      </c>
      <c r="F9" s="3">
        <f t="shared" ca="1" si="3"/>
        <v>5.7287395951896691</v>
      </c>
      <c r="G9" s="3">
        <f t="shared" ca="1" si="8"/>
        <v>38.075189289718395</v>
      </c>
      <c r="H9" s="3">
        <f t="shared" ca="1" si="4"/>
        <v>43.803928884908061</v>
      </c>
      <c r="I9" s="3">
        <f t="shared" ca="1" si="5"/>
        <v>10.367912875740544</v>
      </c>
      <c r="J9" s="3">
        <f t="shared" ca="1" si="6"/>
        <v>4.6391732805508781</v>
      </c>
      <c r="K9" s="3">
        <f t="shared" ca="1" si="9"/>
        <v>0</v>
      </c>
    </row>
    <row r="10" spans="1:11" x14ac:dyDescent="0.45">
      <c r="A10">
        <v>9</v>
      </c>
      <c r="B10" s="2">
        <f t="shared" ca="1" si="0"/>
        <v>0.92545393911398388</v>
      </c>
      <c r="C10" s="3">
        <f t="shared" ca="1" si="1"/>
        <v>9.3290854520258542</v>
      </c>
      <c r="D10" s="3">
        <f t="shared" ca="1" si="7"/>
        <v>42.765101461193368</v>
      </c>
      <c r="E10" s="3">
        <f t="shared" ca="1" si="2"/>
        <v>0.19088449396390694</v>
      </c>
      <c r="F10" s="3">
        <f t="shared" ca="1" si="3"/>
        <v>1.9544224698195347</v>
      </c>
      <c r="G10" s="3">
        <f t="shared" ca="1" si="8"/>
        <v>43.803928884908061</v>
      </c>
      <c r="H10" s="3">
        <f t="shared" ca="1" si="4"/>
        <v>45.758351354727594</v>
      </c>
      <c r="I10" s="3">
        <f t="shared" ca="1" si="5"/>
        <v>2.9932498935342267</v>
      </c>
      <c r="J10" s="3">
        <f t="shared" ca="1" si="6"/>
        <v>1.0388274237146931</v>
      </c>
      <c r="K10" s="3">
        <f t="shared" ca="1" si="9"/>
        <v>0</v>
      </c>
    </row>
    <row r="11" spans="1:11" x14ac:dyDescent="0.45">
      <c r="A11">
        <v>10</v>
      </c>
      <c r="B11" s="2">
        <f t="shared" ca="1" si="0"/>
        <v>0.80205936117025578</v>
      </c>
      <c r="C11" s="3">
        <f t="shared" ca="1" si="1"/>
        <v>8.2185342505323025</v>
      </c>
      <c r="D11" s="3">
        <f t="shared" ca="1" si="7"/>
        <v>50.983635711725668</v>
      </c>
      <c r="E11" s="3">
        <f t="shared" ca="1" si="2"/>
        <v>0.39559976815541187</v>
      </c>
      <c r="F11" s="3">
        <f t="shared" ca="1" si="3"/>
        <v>2.9779988407770595</v>
      </c>
      <c r="G11" s="3">
        <f t="shared" ca="1" si="8"/>
        <v>50.983635711725668</v>
      </c>
      <c r="H11" s="3">
        <f t="shared" ca="1" si="4"/>
        <v>53.96163455250273</v>
      </c>
      <c r="I11" s="3">
        <f t="shared" ca="1" si="5"/>
        <v>2.9779988407770617</v>
      </c>
      <c r="J11" s="3">
        <f t="shared" ca="1" si="6"/>
        <v>0</v>
      </c>
      <c r="K11" s="3">
        <f t="shared" ca="1" si="9"/>
        <v>5.225284356998074</v>
      </c>
    </row>
    <row r="12" spans="1:11" x14ac:dyDescent="0.45">
      <c r="A12">
        <v>11</v>
      </c>
      <c r="B12" s="2">
        <f t="shared" ca="1" si="0"/>
        <v>0.59595564429650305</v>
      </c>
      <c r="C12" s="3">
        <f t="shared" ca="1" si="1"/>
        <v>6.3636007986685277</v>
      </c>
      <c r="D12" s="3">
        <f t="shared" ca="1" si="7"/>
        <v>57.347236510394197</v>
      </c>
      <c r="E12" s="3">
        <f t="shared" ca="1" si="2"/>
        <v>0.16148768197357677</v>
      </c>
      <c r="F12" s="3">
        <f t="shared" ca="1" si="3"/>
        <v>1.807438409867884</v>
      </c>
      <c r="G12" s="3">
        <f t="shared" ca="1" si="8"/>
        <v>57.347236510394197</v>
      </c>
      <c r="H12" s="3">
        <f t="shared" ca="1" si="4"/>
        <v>59.154674920262082</v>
      </c>
      <c r="I12" s="3">
        <f t="shared" ca="1" si="5"/>
        <v>1.8074384098678848</v>
      </c>
      <c r="J12" s="3">
        <f t="shared" ca="1" si="6"/>
        <v>0</v>
      </c>
      <c r="K12" s="3">
        <f t="shared" ca="1" si="9"/>
        <v>3.3856019578914669</v>
      </c>
    </row>
    <row r="13" spans="1:11" x14ac:dyDescent="0.45">
      <c r="A13">
        <v>12</v>
      </c>
      <c r="B13" s="2">
        <f t="shared" ca="1" si="0"/>
        <v>0.89389605309165854</v>
      </c>
      <c r="C13" s="3">
        <f t="shared" ca="1" si="1"/>
        <v>9.0450644778249263</v>
      </c>
      <c r="D13" s="3">
        <f t="shared" ca="1" si="7"/>
        <v>66.39230098821912</v>
      </c>
      <c r="E13" s="3">
        <f t="shared" ca="1" si="2"/>
        <v>0.40973333534375456</v>
      </c>
      <c r="F13" s="3">
        <f t="shared" ca="1" si="3"/>
        <v>3.0486666767187729</v>
      </c>
      <c r="G13" s="3">
        <f t="shared" ca="1" si="8"/>
        <v>66.39230098821912</v>
      </c>
      <c r="H13" s="3">
        <f t="shared" ca="1" si="4"/>
        <v>69.440967664937887</v>
      </c>
      <c r="I13" s="3">
        <f t="shared" ca="1" si="5"/>
        <v>3.0486666767187671</v>
      </c>
      <c r="J13" s="3">
        <f t="shared" ca="1" si="6"/>
        <v>0</v>
      </c>
      <c r="K13" s="3">
        <f t="shared" ca="1" si="9"/>
        <v>7.2376260679570379</v>
      </c>
    </row>
    <row r="14" spans="1:11" x14ac:dyDescent="0.45">
      <c r="A14">
        <v>13</v>
      </c>
      <c r="B14" s="2">
        <f t="shared" ca="1" si="0"/>
        <v>0.58449287098056957</v>
      </c>
      <c r="C14" s="3">
        <f t="shared" ca="1" si="1"/>
        <v>6.260435838825126</v>
      </c>
      <c r="D14" s="3">
        <f t="shared" ca="1" si="7"/>
        <v>72.652736827044251</v>
      </c>
      <c r="E14" s="3">
        <f t="shared" ca="1" si="2"/>
        <v>0.54503350288324559</v>
      </c>
      <c r="F14" s="3">
        <f t="shared" ca="1" si="3"/>
        <v>3.7251675144162277</v>
      </c>
      <c r="G14" s="3">
        <f t="shared" ca="1" si="8"/>
        <v>72.652736827044251</v>
      </c>
      <c r="H14" s="3">
        <f t="shared" ca="1" si="4"/>
        <v>76.377904341460479</v>
      </c>
      <c r="I14" s="3">
        <f t="shared" ca="1" si="5"/>
        <v>3.7251675144162277</v>
      </c>
      <c r="J14" s="3">
        <f t="shared" ca="1" si="6"/>
        <v>0</v>
      </c>
      <c r="K14" s="3">
        <f t="shared" ca="1" si="9"/>
        <v>3.2117691621063642</v>
      </c>
    </row>
    <row r="15" spans="1:11" x14ac:dyDescent="0.45">
      <c r="A15">
        <v>14</v>
      </c>
      <c r="B15" s="2">
        <f t="shared" ca="1" si="0"/>
        <v>0.17989635305860685</v>
      </c>
      <c r="C15" s="3">
        <f t="shared" ca="1" si="1"/>
        <v>2.6190671775274614</v>
      </c>
      <c r="D15" s="3">
        <f t="shared" ca="1" si="7"/>
        <v>75.271804004571706</v>
      </c>
      <c r="E15" s="3">
        <f t="shared" ca="1" si="2"/>
        <v>0.43616887116498704</v>
      </c>
      <c r="F15" s="3">
        <f t="shared" ca="1" si="3"/>
        <v>3.1808443558249353</v>
      </c>
      <c r="G15" s="3">
        <f t="shared" ca="1" si="8"/>
        <v>76.377904341460479</v>
      </c>
      <c r="H15" s="3">
        <f t="shared" ca="1" si="4"/>
        <v>79.558748697285409</v>
      </c>
      <c r="I15" s="3">
        <f t="shared" ca="1" si="5"/>
        <v>4.2869446927137034</v>
      </c>
      <c r="J15" s="3">
        <f t="shared" ca="1" si="6"/>
        <v>1.1061003368887725</v>
      </c>
      <c r="K15" s="3">
        <f t="shared" ca="1" si="9"/>
        <v>0</v>
      </c>
    </row>
    <row r="16" spans="1:11" x14ac:dyDescent="0.45">
      <c r="A16">
        <v>15</v>
      </c>
      <c r="B16" s="2">
        <f t="shared" ca="1" si="0"/>
        <v>0.44708916447802549</v>
      </c>
      <c r="C16" s="3">
        <f t="shared" ca="1" si="1"/>
        <v>5.0238024803022299</v>
      </c>
      <c r="D16" s="3">
        <f t="shared" ca="1" si="7"/>
        <v>80.295606484873929</v>
      </c>
      <c r="E16" s="3">
        <f t="shared" ca="1" si="2"/>
        <v>0.74095143626859716</v>
      </c>
      <c r="F16" s="3">
        <f t="shared" ca="1" si="3"/>
        <v>4.7047571813429858</v>
      </c>
      <c r="G16" s="3">
        <f t="shared" ca="1" si="8"/>
        <v>80.295606484873929</v>
      </c>
      <c r="H16" s="3">
        <f t="shared" ca="1" si="4"/>
        <v>85.000363666216913</v>
      </c>
      <c r="I16" s="3">
        <f t="shared" ca="1" si="5"/>
        <v>4.704757181342984</v>
      </c>
      <c r="J16" s="3">
        <f t="shared" ca="1" si="6"/>
        <v>0</v>
      </c>
      <c r="K16" s="3">
        <f t="shared" ca="1" si="9"/>
        <v>0.73685778758851939</v>
      </c>
    </row>
    <row r="17" spans="1:11" x14ac:dyDescent="0.45">
      <c r="A17">
        <v>16</v>
      </c>
      <c r="B17" s="2">
        <f t="shared" ca="1" si="0"/>
        <v>0.55667814152963935</v>
      </c>
      <c r="C17" s="3">
        <f t="shared" ca="1" si="1"/>
        <v>6.0101032737667541</v>
      </c>
      <c r="D17" s="3">
        <f t="shared" ca="1" si="7"/>
        <v>86.305709758640688</v>
      </c>
      <c r="E17" s="3">
        <f t="shared" ca="1" si="2"/>
        <v>0.76832412284329643</v>
      </c>
      <c r="F17" s="3">
        <f t="shared" ca="1" si="3"/>
        <v>4.8416206142164819</v>
      </c>
      <c r="G17" s="3">
        <f t="shared" ca="1" si="8"/>
        <v>86.305709758640688</v>
      </c>
      <c r="H17" s="3">
        <f t="shared" ca="1" si="4"/>
        <v>91.147330372857169</v>
      </c>
      <c r="I17" s="3">
        <f t="shared" ca="1" si="5"/>
        <v>4.841620614216481</v>
      </c>
      <c r="J17" s="3">
        <f t="shared" ca="1" si="6"/>
        <v>0</v>
      </c>
      <c r="K17" s="3">
        <f t="shared" ca="1" si="9"/>
        <v>1.3053460924237754</v>
      </c>
    </row>
    <row r="18" spans="1:11" x14ac:dyDescent="0.45">
      <c r="A18">
        <v>17</v>
      </c>
      <c r="B18" s="2">
        <f t="shared" ca="1" si="0"/>
        <v>0.91262100731199747</v>
      </c>
      <c r="C18" s="3">
        <f t="shared" ca="1" si="1"/>
        <v>9.2135890658079767</v>
      </c>
      <c r="D18" s="3">
        <f t="shared" ca="1" si="7"/>
        <v>95.519298824448668</v>
      </c>
      <c r="E18" s="3">
        <f t="shared" ca="1" si="2"/>
        <v>0.60781584233369079</v>
      </c>
      <c r="F18" s="3">
        <f t="shared" ca="1" si="3"/>
        <v>4.0390792116684544</v>
      </c>
      <c r="G18" s="3">
        <f t="shared" ca="1" si="8"/>
        <v>95.519298824448668</v>
      </c>
      <c r="H18" s="3">
        <f t="shared" ca="1" si="4"/>
        <v>99.558378036117119</v>
      </c>
      <c r="I18" s="3">
        <f t="shared" ca="1" si="5"/>
        <v>4.0390792116684509</v>
      </c>
      <c r="J18" s="3">
        <f t="shared" ca="1" si="6"/>
        <v>0</v>
      </c>
      <c r="K18" s="3">
        <f t="shared" ca="1" si="9"/>
        <v>4.3719684515914992</v>
      </c>
    </row>
    <row r="19" spans="1:11" x14ac:dyDescent="0.45">
      <c r="A19">
        <v>18</v>
      </c>
      <c r="B19" s="2">
        <f t="shared" ca="1" si="0"/>
        <v>0.34466007934968867</v>
      </c>
      <c r="C19" s="3">
        <f t="shared" ca="1" si="1"/>
        <v>4.1019407141471982</v>
      </c>
      <c r="D19" s="3">
        <f t="shared" ca="1" si="7"/>
        <v>99.621239538595873</v>
      </c>
      <c r="E19" s="3">
        <f t="shared" ca="1" si="2"/>
        <v>0.64103391769599694</v>
      </c>
      <c r="F19" s="3">
        <f t="shared" ca="1" si="3"/>
        <v>4.2051695884799845</v>
      </c>
      <c r="G19" s="3">
        <f t="shared" ca="1" si="8"/>
        <v>99.621239538595873</v>
      </c>
      <c r="H19" s="3">
        <f t="shared" ca="1" si="4"/>
        <v>103.82640912707586</v>
      </c>
      <c r="I19" s="3">
        <f t="shared" ca="1" si="5"/>
        <v>4.2051695884799898</v>
      </c>
      <c r="J19" s="3">
        <f t="shared" ca="1" si="6"/>
        <v>0</v>
      </c>
      <c r="K19" s="3">
        <f t="shared" ca="1" si="9"/>
        <v>6.286150247875355E-2</v>
      </c>
    </row>
    <row r="20" spans="1:11" x14ac:dyDescent="0.45">
      <c r="A20">
        <v>19</v>
      </c>
      <c r="B20" s="2">
        <f t="shared" ca="1" si="0"/>
        <v>0.56222672207769908</v>
      </c>
      <c r="C20" s="3">
        <f t="shared" ca="1" si="1"/>
        <v>6.0600404986992915</v>
      </c>
      <c r="D20" s="3">
        <f t="shared" ca="1" si="7"/>
        <v>105.68128003729517</v>
      </c>
      <c r="E20" s="3">
        <f t="shared" ca="1" si="2"/>
        <v>5.9967398471657885E-2</v>
      </c>
      <c r="F20" s="3">
        <f t="shared" ca="1" si="3"/>
        <v>1.2998369923582893</v>
      </c>
      <c r="G20" s="3">
        <f t="shared" ca="1" si="8"/>
        <v>105.68128003729517</v>
      </c>
      <c r="H20" s="3">
        <f t="shared" ca="1" si="4"/>
        <v>106.98111702965346</v>
      </c>
      <c r="I20" s="3">
        <f t="shared" ca="1" si="5"/>
        <v>1.2998369923582942</v>
      </c>
      <c r="J20" s="3">
        <f t="shared" ca="1" si="6"/>
        <v>0</v>
      </c>
      <c r="K20" s="3">
        <f t="shared" ca="1" si="9"/>
        <v>1.8548709102193044</v>
      </c>
    </row>
    <row r="21" spans="1:11" x14ac:dyDescent="0.45">
      <c r="A21">
        <v>20</v>
      </c>
      <c r="B21" s="2">
        <f t="shared" ca="1" si="0"/>
        <v>0.68655386135845287</v>
      </c>
      <c r="C21" s="3">
        <f t="shared" ca="1" si="1"/>
        <v>7.1789847522260759</v>
      </c>
      <c r="D21" s="3">
        <f t="shared" ca="1" si="7"/>
        <v>112.86026478952124</v>
      </c>
      <c r="E21" s="3">
        <f t="shared" ca="1" si="2"/>
        <v>0.64638145158818006</v>
      </c>
      <c r="F21" s="3">
        <f t="shared" ca="1" si="3"/>
        <v>4.2319072579409003</v>
      </c>
      <c r="G21" s="3">
        <f t="shared" ca="1" si="8"/>
        <v>112.86026478952124</v>
      </c>
      <c r="H21" s="3">
        <f t="shared" ca="1" si="4"/>
        <v>117.09217204746214</v>
      </c>
      <c r="I21" s="3">
        <f t="shared" ca="1" si="5"/>
        <v>4.2319072579409038</v>
      </c>
      <c r="J21" s="3">
        <f t="shared" ca="1" si="6"/>
        <v>0</v>
      </c>
      <c r="K21" s="3">
        <f t="shared" ca="1" si="9"/>
        <v>5.8791477598677773</v>
      </c>
    </row>
    <row r="22" spans="1:11" x14ac:dyDescent="0.45">
      <c r="A22">
        <v>21</v>
      </c>
      <c r="B22" s="2">
        <f t="shared" ca="1" si="0"/>
        <v>0.53853615829616308</v>
      </c>
      <c r="C22" s="3">
        <f t="shared" ca="1" si="1"/>
        <v>5.8468254246654681</v>
      </c>
      <c r="D22" s="3">
        <f t="shared" ca="1" si="7"/>
        <v>118.70709021418671</v>
      </c>
      <c r="E22" s="3">
        <f t="shared" ca="1" si="2"/>
        <v>0.32661552733064858</v>
      </c>
      <c r="F22" s="3">
        <f t="shared" ca="1" si="3"/>
        <v>2.6330776366532431</v>
      </c>
      <c r="G22" s="3">
        <f t="shared" ca="1" si="8"/>
        <v>118.70709021418671</v>
      </c>
      <c r="H22" s="3">
        <f t="shared" ca="1" si="4"/>
        <v>121.34016785083995</v>
      </c>
      <c r="I22" s="3">
        <f t="shared" ca="1" si="5"/>
        <v>2.6330776366532405</v>
      </c>
      <c r="J22" s="3">
        <f t="shared" ca="1" si="6"/>
        <v>0</v>
      </c>
      <c r="K22" s="3">
        <f t="shared" ca="1" si="9"/>
        <v>1.6149181667245642</v>
      </c>
    </row>
    <row r="23" spans="1:11" x14ac:dyDescent="0.45">
      <c r="A23">
        <v>22</v>
      </c>
      <c r="B23" s="2">
        <f t="shared" ca="1" si="0"/>
        <v>0.66295216862210538</v>
      </c>
      <c r="C23" s="3">
        <f t="shared" ca="1" si="1"/>
        <v>6.9665695175989484</v>
      </c>
      <c r="D23" s="3">
        <f t="shared" ca="1" si="7"/>
        <v>125.67365973178565</v>
      </c>
      <c r="E23" s="3">
        <f t="shared" ca="1" si="2"/>
        <v>0.9627618817981447</v>
      </c>
      <c r="F23" s="3">
        <f t="shared" ca="1" si="3"/>
        <v>5.8138094089907231</v>
      </c>
      <c r="G23" s="3">
        <f t="shared" ca="1" si="8"/>
        <v>125.67365973178565</v>
      </c>
      <c r="H23" s="3">
        <f t="shared" ca="1" si="4"/>
        <v>131.48746914077637</v>
      </c>
      <c r="I23" s="3">
        <f t="shared" ca="1" si="5"/>
        <v>5.8138094089907213</v>
      </c>
      <c r="J23" s="3">
        <f t="shared" ca="1" si="6"/>
        <v>0</v>
      </c>
      <c r="K23" s="3">
        <f t="shared" ca="1" si="9"/>
        <v>4.3334918809457008</v>
      </c>
    </row>
    <row r="24" spans="1:11" x14ac:dyDescent="0.45">
      <c r="A24">
        <v>23</v>
      </c>
      <c r="B24" s="2">
        <f t="shared" ca="1" si="0"/>
        <v>0.54786368302179145</v>
      </c>
      <c r="C24" s="3">
        <f t="shared" ca="1" si="1"/>
        <v>5.9307731471961231</v>
      </c>
      <c r="D24" s="3">
        <f t="shared" ca="1" si="7"/>
        <v>131.60443287898178</v>
      </c>
      <c r="E24" s="3">
        <f t="shared" ca="1" si="2"/>
        <v>0.9743381960289772</v>
      </c>
      <c r="F24" s="3">
        <f t="shared" ca="1" si="3"/>
        <v>5.8716909801448862</v>
      </c>
      <c r="G24" s="3">
        <f t="shared" ca="1" si="8"/>
        <v>131.60443287898178</v>
      </c>
      <c r="H24" s="3">
        <f t="shared" ca="1" si="4"/>
        <v>137.47612385912666</v>
      </c>
      <c r="I24" s="3">
        <f t="shared" ca="1" si="5"/>
        <v>5.8716909801448764</v>
      </c>
      <c r="J24" s="3">
        <f t="shared" ca="1" si="6"/>
        <v>0</v>
      </c>
      <c r="K24" s="3">
        <f t="shared" ca="1" si="9"/>
        <v>0.11696373820541339</v>
      </c>
    </row>
    <row r="25" spans="1:11" x14ac:dyDescent="0.45">
      <c r="A25">
        <v>24</v>
      </c>
      <c r="B25" s="2">
        <f t="shared" ca="1" si="0"/>
        <v>0.41960725713581848</v>
      </c>
      <c r="C25" s="3">
        <f t="shared" ca="1" si="1"/>
        <v>4.7764653142223663</v>
      </c>
      <c r="D25" s="3">
        <f t="shared" ca="1" si="7"/>
        <v>136.38089819320416</v>
      </c>
      <c r="E25" s="3">
        <f t="shared" ca="1" si="2"/>
        <v>1.4910871354401389E-2</v>
      </c>
      <c r="F25" s="3">
        <f t="shared" ca="1" si="3"/>
        <v>1.0745543567720071</v>
      </c>
      <c r="G25" s="3">
        <f t="shared" ca="1" si="8"/>
        <v>137.47612385912666</v>
      </c>
      <c r="H25" s="3">
        <f t="shared" ca="1" si="4"/>
        <v>138.55067821589867</v>
      </c>
      <c r="I25" s="3">
        <f t="shared" ca="1" si="5"/>
        <v>2.1697800226945105</v>
      </c>
      <c r="J25" s="3">
        <f t="shared" ca="1" si="6"/>
        <v>1.0952256659224986</v>
      </c>
      <c r="K25" s="3">
        <f t="shared" ca="1" si="9"/>
        <v>0</v>
      </c>
    </row>
    <row r="26" spans="1:11" x14ac:dyDescent="0.45">
      <c r="A26">
        <v>25</v>
      </c>
      <c r="B26" s="2">
        <f t="shared" ca="1" si="0"/>
        <v>1.8187170909058747E-2</v>
      </c>
      <c r="C26" s="3">
        <f t="shared" ca="1" si="1"/>
        <v>1.1636845381815286</v>
      </c>
      <c r="D26" s="3">
        <f t="shared" ca="1" si="7"/>
        <v>137.5445827313857</v>
      </c>
      <c r="E26" s="3">
        <f t="shared" ca="1" si="2"/>
        <v>0.66723094944391659</v>
      </c>
      <c r="F26" s="3">
        <f t="shared" ca="1" si="3"/>
        <v>4.3361547472195827</v>
      </c>
      <c r="G26" s="3">
        <f t="shared" ca="1" si="8"/>
        <v>138.55067821589867</v>
      </c>
      <c r="H26" s="3">
        <f t="shared" ca="1" si="4"/>
        <v>142.88683296311825</v>
      </c>
      <c r="I26" s="3">
        <f t="shared" ca="1" si="5"/>
        <v>5.3422502317325495</v>
      </c>
      <c r="J26" s="3">
        <f t="shared" ca="1" si="6"/>
        <v>1.0060954845129686</v>
      </c>
      <c r="K26" s="3">
        <f t="shared" ca="1" si="9"/>
        <v>0</v>
      </c>
    </row>
    <row r="27" spans="1:11" x14ac:dyDescent="0.45">
      <c r="A27">
        <v>26</v>
      </c>
      <c r="B27" s="2">
        <f t="shared" ca="1" si="0"/>
        <v>0.63713503462384857</v>
      </c>
      <c r="C27" s="3">
        <f t="shared" ca="1" si="1"/>
        <v>6.734215311614637</v>
      </c>
      <c r="D27" s="3">
        <f t="shared" ca="1" si="7"/>
        <v>144.27879804300034</v>
      </c>
      <c r="E27" s="3">
        <f t="shared" ca="1" si="2"/>
        <v>0.26697377271253475</v>
      </c>
      <c r="F27" s="3">
        <f t="shared" ca="1" si="3"/>
        <v>2.334868863562674</v>
      </c>
      <c r="G27" s="3">
        <f t="shared" ca="1" si="8"/>
        <v>144.27879804300034</v>
      </c>
      <c r="H27" s="3">
        <f t="shared" ca="1" si="4"/>
        <v>146.613666906563</v>
      </c>
      <c r="I27" s="3">
        <f t="shared" ca="1" si="5"/>
        <v>2.3348688635626615</v>
      </c>
      <c r="J27" s="3">
        <f t="shared" ca="1" si="6"/>
        <v>0</v>
      </c>
      <c r="K27" s="3">
        <f t="shared" ca="1" si="9"/>
        <v>1.391965079882084</v>
      </c>
    </row>
    <row r="28" spans="1:11" x14ac:dyDescent="0.45">
      <c r="A28">
        <v>27</v>
      </c>
      <c r="B28" s="2">
        <f t="shared" ca="1" si="0"/>
        <v>0.41103953253765491</v>
      </c>
      <c r="C28" s="3">
        <f t="shared" ca="1" si="1"/>
        <v>4.6993557928388938</v>
      </c>
      <c r="D28" s="3">
        <f t="shared" ca="1" si="7"/>
        <v>148.97815383583924</v>
      </c>
      <c r="E28" s="3">
        <f t="shared" ca="1" si="2"/>
        <v>0.5501142364569529</v>
      </c>
      <c r="F28" s="3">
        <f t="shared" ca="1" si="3"/>
        <v>3.7505711822847645</v>
      </c>
      <c r="G28" s="3">
        <f t="shared" ca="1" si="8"/>
        <v>148.97815383583924</v>
      </c>
      <c r="H28" s="3">
        <f t="shared" ca="1" si="4"/>
        <v>152.72872501812401</v>
      </c>
      <c r="I28" s="3">
        <f t="shared" ca="1" si="5"/>
        <v>3.7505711822847729</v>
      </c>
      <c r="J28" s="3">
        <f t="shared" ca="1" si="6"/>
        <v>0</v>
      </c>
      <c r="K28" s="3">
        <f t="shared" ca="1" si="9"/>
        <v>2.3644869292762394</v>
      </c>
    </row>
    <row r="29" spans="1:11" x14ac:dyDescent="0.45">
      <c r="A29">
        <v>28</v>
      </c>
      <c r="B29" s="2">
        <f t="shared" ca="1" si="0"/>
        <v>0.41674597696754789</v>
      </c>
      <c r="C29" s="3">
        <f t="shared" ca="1" si="1"/>
        <v>4.7507137927079306</v>
      </c>
      <c r="D29" s="3">
        <f t="shared" ca="1" si="7"/>
        <v>153.72886762854716</v>
      </c>
      <c r="E29" s="3">
        <f t="shared" ca="1" si="2"/>
        <v>0.23053409653023615</v>
      </c>
      <c r="F29" s="3">
        <f t="shared" ca="1" si="3"/>
        <v>2.1526704826511809</v>
      </c>
      <c r="G29" s="3">
        <f t="shared" ca="1" si="8"/>
        <v>153.72886762854716</v>
      </c>
      <c r="H29" s="3">
        <f t="shared" ca="1" si="4"/>
        <v>155.88153811119835</v>
      </c>
      <c r="I29" s="3">
        <f t="shared" ca="1" si="5"/>
        <v>2.1526704826511889</v>
      </c>
      <c r="J29" s="3">
        <f t="shared" ca="1" si="6"/>
        <v>0</v>
      </c>
      <c r="K29" s="3">
        <f t="shared" ca="1" si="9"/>
        <v>1.0001426104231541</v>
      </c>
    </row>
    <row r="30" spans="1:11" x14ac:dyDescent="0.45">
      <c r="A30">
        <v>29</v>
      </c>
      <c r="B30" s="2">
        <f t="shared" ca="1" si="0"/>
        <v>0.65189464542124731</v>
      </c>
      <c r="C30" s="3">
        <f t="shared" ca="1" si="1"/>
        <v>6.867051808791226</v>
      </c>
      <c r="D30" s="3">
        <f t="shared" ca="1" si="7"/>
        <v>160.59591943733838</v>
      </c>
      <c r="E30" s="3">
        <f t="shared" ca="1" si="2"/>
        <v>0.42249705912666569</v>
      </c>
      <c r="F30" s="3">
        <f t="shared" ca="1" si="3"/>
        <v>3.1124852956333284</v>
      </c>
      <c r="G30" s="3">
        <f t="shared" ca="1" si="8"/>
        <v>160.59591943733838</v>
      </c>
      <c r="H30" s="3">
        <f t="shared" ca="1" si="4"/>
        <v>163.7084047329717</v>
      </c>
      <c r="I30" s="3">
        <f t="shared" ca="1" si="5"/>
        <v>3.11248529563332</v>
      </c>
      <c r="J30" s="3">
        <f t="shared" ca="1" si="6"/>
        <v>0</v>
      </c>
      <c r="K30" s="3">
        <f t="shared" ca="1" si="9"/>
        <v>4.7143813261400282</v>
      </c>
    </row>
    <row r="31" spans="1:11" x14ac:dyDescent="0.45">
      <c r="A31">
        <v>30</v>
      </c>
      <c r="B31" s="2">
        <f t="shared" ca="1" si="0"/>
        <v>0.1223699504539526</v>
      </c>
      <c r="C31" s="3">
        <f t="shared" ca="1" si="1"/>
        <v>2.1013295540855736</v>
      </c>
      <c r="D31" s="3">
        <f t="shared" ca="1" si="7"/>
        <v>162.69724899142395</v>
      </c>
      <c r="E31" s="3">
        <f t="shared" ca="1" si="2"/>
        <v>0.78687828059299514</v>
      </c>
      <c r="F31" s="3">
        <f t="shared" ca="1" si="3"/>
        <v>4.9343914029649758</v>
      </c>
      <c r="G31" s="3">
        <f t="shared" ca="1" si="8"/>
        <v>163.7084047329717</v>
      </c>
      <c r="H31" s="3">
        <f t="shared" ca="1" si="4"/>
        <v>168.64279613593666</v>
      </c>
      <c r="I31" s="3">
        <f t="shared" ca="1" si="5"/>
        <v>5.9455471445127159</v>
      </c>
      <c r="J31" s="3">
        <f t="shared" ca="1" si="6"/>
        <v>1.0111557415477535</v>
      </c>
      <c r="K31" s="3">
        <f t="shared" ca="1" si="9"/>
        <v>0</v>
      </c>
    </row>
    <row r="32" spans="1:11" x14ac:dyDescent="0.45">
      <c r="A32">
        <v>31</v>
      </c>
      <c r="B32" s="2">
        <f t="shared" ca="1" si="0"/>
        <v>0.33013624404574649</v>
      </c>
      <c r="C32" s="3">
        <f t="shared" ca="1" si="1"/>
        <v>3.9712261964117186</v>
      </c>
      <c r="D32" s="3">
        <f t="shared" ca="1" si="7"/>
        <v>166.66847518783567</v>
      </c>
      <c r="E32" s="3">
        <f t="shared" ca="1" si="2"/>
        <v>0.39366910027230673</v>
      </c>
      <c r="F32" s="3">
        <f t="shared" ca="1" si="3"/>
        <v>2.9683455013615339</v>
      </c>
      <c r="G32" s="3">
        <f t="shared" ca="1" si="8"/>
        <v>168.64279613593666</v>
      </c>
      <c r="H32" s="3">
        <f t="shared" ca="1" si="4"/>
        <v>171.6111416372982</v>
      </c>
      <c r="I32" s="3">
        <f t="shared" ca="1" si="5"/>
        <v>4.9426664494625356</v>
      </c>
      <c r="J32" s="3">
        <f t="shared" ca="1" si="6"/>
        <v>1.9743209481009956</v>
      </c>
      <c r="K32" s="3">
        <f t="shared" ca="1" si="9"/>
        <v>0</v>
      </c>
    </row>
    <row r="33" spans="1:11" x14ac:dyDescent="0.45">
      <c r="A33">
        <v>32</v>
      </c>
      <c r="B33" s="2">
        <f t="shared" ca="1" si="0"/>
        <v>0.8210054528836922</v>
      </c>
      <c r="C33" s="3">
        <f t="shared" ca="1" si="1"/>
        <v>8.3890490759532295</v>
      </c>
      <c r="D33" s="3">
        <f t="shared" ca="1" si="7"/>
        <v>175.05752426378891</v>
      </c>
      <c r="E33" s="3">
        <f t="shared" ca="1" si="2"/>
        <v>0.31457289934642818</v>
      </c>
      <c r="F33" s="3">
        <f t="shared" ca="1" si="3"/>
        <v>2.5728644967321408</v>
      </c>
      <c r="G33" s="3">
        <f t="shared" ca="1" si="8"/>
        <v>175.05752426378891</v>
      </c>
      <c r="H33" s="3">
        <f t="shared" ca="1" si="4"/>
        <v>177.63038876052104</v>
      </c>
      <c r="I33" s="3">
        <f t="shared" ca="1" si="5"/>
        <v>2.5728644967321372</v>
      </c>
      <c r="J33" s="3">
        <f t="shared" ca="1" si="6"/>
        <v>0</v>
      </c>
      <c r="K33" s="3">
        <f t="shared" ca="1" si="9"/>
        <v>3.4463826264907027</v>
      </c>
    </row>
    <row r="34" spans="1:11" x14ac:dyDescent="0.45">
      <c r="A34">
        <v>33</v>
      </c>
      <c r="B34" s="2">
        <f t="shared" ref="B34:B51" ca="1" si="10">RAND()</f>
        <v>0.35750017434187509</v>
      </c>
      <c r="C34" s="3">
        <f t="shared" ref="C34:C65" ca="1" si="11">1 + (10-1)*B34</f>
        <v>4.2175015690768758</v>
      </c>
      <c r="D34" s="3">
        <f t="shared" ca="1" si="7"/>
        <v>179.27502583286579</v>
      </c>
      <c r="E34" s="3">
        <f t="shared" ref="E34:E51" ca="1" si="12">RAND()</f>
        <v>0.36348278663627742</v>
      </c>
      <c r="F34" s="3">
        <f t="shared" ref="F34:F65" ca="1" si="13">1 + (6-1)*E34</f>
        <v>2.817413933181387</v>
      </c>
      <c r="G34" s="3">
        <f t="shared" ca="1" si="8"/>
        <v>179.27502583286579</v>
      </c>
      <c r="H34" s="3">
        <f t="shared" ref="H34:H65" ca="1" si="14">G34+F34</f>
        <v>182.09243976604719</v>
      </c>
      <c r="I34" s="3">
        <f t="shared" ref="I34:I65" ca="1" si="15">H34-D34</f>
        <v>2.817413933181399</v>
      </c>
      <c r="J34" s="3">
        <f t="shared" ref="J34:J51" ca="1" si="16">G34-D34</f>
        <v>0</v>
      </c>
      <c r="K34" s="3">
        <f t="shared" ca="1" si="9"/>
        <v>1.6446370723447501</v>
      </c>
    </row>
    <row r="35" spans="1:11" x14ac:dyDescent="0.45">
      <c r="A35">
        <v>34</v>
      </c>
      <c r="B35" s="2">
        <f t="shared" ca="1" si="10"/>
        <v>0.49969818645941788</v>
      </c>
      <c r="C35" s="3">
        <f t="shared" ca="1" si="11"/>
        <v>5.4972836781347612</v>
      </c>
      <c r="D35" s="3">
        <f t="shared" ref="D35:D66" ca="1" si="17">D34+C35</f>
        <v>184.77230951100054</v>
      </c>
      <c r="E35" s="3">
        <f t="shared" ca="1" si="12"/>
        <v>0.10123666264485376</v>
      </c>
      <c r="F35" s="3">
        <f t="shared" ca="1" si="13"/>
        <v>1.5061833132242688</v>
      </c>
      <c r="G35" s="3">
        <f t="shared" ref="G35:G51" ca="1" si="18">MAX(D35, H34)</f>
        <v>184.77230951100054</v>
      </c>
      <c r="H35" s="3">
        <f t="shared" ca="1" si="14"/>
        <v>186.2784928242248</v>
      </c>
      <c r="I35" s="3">
        <f t="shared" ca="1" si="15"/>
        <v>1.5061833132242555</v>
      </c>
      <c r="J35" s="3">
        <f t="shared" ca="1" si="16"/>
        <v>0</v>
      </c>
      <c r="K35" s="3">
        <f t="shared" ref="K35:K51" ca="1" si="19">MAX(0, G35-H34)</f>
        <v>2.6798697449533506</v>
      </c>
    </row>
    <row r="36" spans="1:11" x14ac:dyDescent="0.45">
      <c r="A36">
        <v>35</v>
      </c>
      <c r="B36" s="2">
        <f t="shared" ca="1" si="10"/>
        <v>0.94111217791897184</v>
      </c>
      <c r="C36" s="3">
        <f t="shared" ca="1" si="11"/>
        <v>9.4700096012707462</v>
      </c>
      <c r="D36" s="3">
        <f t="shared" ca="1" si="17"/>
        <v>194.24231911227128</v>
      </c>
      <c r="E36" s="3">
        <f t="shared" ca="1" si="12"/>
        <v>0.75657535920638552</v>
      </c>
      <c r="F36" s="3">
        <f t="shared" ca="1" si="13"/>
        <v>4.7828767960319274</v>
      </c>
      <c r="G36" s="3">
        <f t="shared" ca="1" si="18"/>
        <v>194.24231911227128</v>
      </c>
      <c r="H36" s="3">
        <f t="shared" ca="1" si="14"/>
        <v>199.0251959083032</v>
      </c>
      <c r="I36" s="3">
        <f t="shared" ca="1" si="15"/>
        <v>4.7828767960319283</v>
      </c>
      <c r="J36" s="3">
        <f t="shared" ca="1" si="16"/>
        <v>0</v>
      </c>
      <c r="K36" s="3">
        <f t="shared" ca="1" si="19"/>
        <v>7.9638262880464765</v>
      </c>
    </row>
    <row r="37" spans="1:11" x14ac:dyDescent="0.45">
      <c r="A37">
        <v>36</v>
      </c>
      <c r="B37" s="2">
        <f t="shared" ca="1" si="10"/>
        <v>0.90229025306327337</v>
      </c>
      <c r="C37" s="3">
        <f t="shared" ca="1" si="11"/>
        <v>9.1206122775694602</v>
      </c>
      <c r="D37" s="3">
        <f t="shared" ca="1" si="17"/>
        <v>203.36293138984072</v>
      </c>
      <c r="E37" s="3">
        <f t="shared" ca="1" si="12"/>
        <v>0.60517015937226259</v>
      </c>
      <c r="F37" s="3">
        <f t="shared" ca="1" si="13"/>
        <v>4.0258507968613131</v>
      </c>
      <c r="G37" s="3">
        <f t="shared" ca="1" si="18"/>
        <v>203.36293138984072</v>
      </c>
      <c r="H37" s="3">
        <f t="shared" ca="1" si="14"/>
        <v>207.38878218670203</v>
      </c>
      <c r="I37" s="3">
        <f t="shared" ca="1" si="15"/>
        <v>4.025850796861306</v>
      </c>
      <c r="J37" s="3">
        <f t="shared" ca="1" si="16"/>
        <v>0</v>
      </c>
      <c r="K37" s="3">
        <f t="shared" ca="1" si="19"/>
        <v>4.3377354815375213</v>
      </c>
    </row>
    <row r="38" spans="1:11" x14ac:dyDescent="0.45">
      <c r="A38">
        <v>37</v>
      </c>
      <c r="B38" s="2">
        <f t="shared" ca="1" si="10"/>
        <v>9.4242776950182683E-2</v>
      </c>
      <c r="C38" s="3">
        <f t="shared" ca="1" si="11"/>
        <v>1.8481849925516443</v>
      </c>
      <c r="D38" s="3">
        <f t="shared" ca="1" si="17"/>
        <v>205.21111638239236</v>
      </c>
      <c r="E38" s="3">
        <f t="shared" ca="1" si="12"/>
        <v>0.31333661953718184</v>
      </c>
      <c r="F38" s="3">
        <f t="shared" ca="1" si="13"/>
        <v>2.5666830976859094</v>
      </c>
      <c r="G38" s="3">
        <f t="shared" ca="1" si="18"/>
        <v>207.38878218670203</v>
      </c>
      <c r="H38" s="3">
        <f t="shared" ca="1" si="14"/>
        <v>209.95546528438794</v>
      </c>
      <c r="I38" s="3">
        <f t="shared" ca="1" si="15"/>
        <v>4.7443489019955791</v>
      </c>
      <c r="J38" s="3">
        <f t="shared" ca="1" si="16"/>
        <v>2.1776658043096688</v>
      </c>
      <c r="K38" s="3">
        <f t="shared" ca="1" si="19"/>
        <v>0</v>
      </c>
    </row>
    <row r="39" spans="1:11" x14ac:dyDescent="0.45">
      <c r="A39">
        <v>38</v>
      </c>
      <c r="B39" s="2">
        <f t="shared" ca="1" si="10"/>
        <v>0.65986516514797022</v>
      </c>
      <c r="C39" s="3">
        <f t="shared" ca="1" si="11"/>
        <v>6.9387864863317317</v>
      </c>
      <c r="D39" s="3">
        <f t="shared" ca="1" si="17"/>
        <v>212.1499028687241</v>
      </c>
      <c r="E39" s="3">
        <f t="shared" ca="1" si="12"/>
        <v>0.69846373552145369</v>
      </c>
      <c r="F39" s="3">
        <f t="shared" ca="1" si="13"/>
        <v>4.492318677607269</v>
      </c>
      <c r="G39" s="3">
        <f t="shared" ca="1" si="18"/>
        <v>212.1499028687241</v>
      </c>
      <c r="H39" s="3">
        <f t="shared" ca="1" si="14"/>
        <v>216.64222154633137</v>
      </c>
      <c r="I39" s="3">
        <f t="shared" ca="1" si="15"/>
        <v>4.4923186776072725</v>
      </c>
      <c r="J39" s="3">
        <f t="shared" ca="1" si="16"/>
        <v>0</v>
      </c>
      <c r="K39" s="3">
        <f t="shared" ca="1" si="19"/>
        <v>2.194437584336157</v>
      </c>
    </row>
    <row r="40" spans="1:11" x14ac:dyDescent="0.45">
      <c r="A40">
        <v>39</v>
      </c>
      <c r="B40" s="2">
        <f t="shared" ca="1" si="10"/>
        <v>0.65046975306073929</v>
      </c>
      <c r="C40" s="3">
        <f t="shared" ca="1" si="11"/>
        <v>6.8542277775466536</v>
      </c>
      <c r="D40" s="3">
        <f t="shared" ca="1" si="17"/>
        <v>219.00413064627074</v>
      </c>
      <c r="E40" s="3">
        <f t="shared" ca="1" si="12"/>
        <v>0.18463048056014719</v>
      </c>
      <c r="F40" s="3">
        <f t="shared" ca="1" si="13"/>
        <v>1.9231524028007358</v>
      </c>
      <c r="G40" s="3">
        <f t="shared" ca="1" si="18"/>
        <v>219.00413064627074</v>
      </c>
      <c r="H40" s="3">
        <f t="shared" ca="1" si="14"/>
        <v>220.92728304907146</v>
      </c>
      <c r="I40" s="3">
        <f t="shared" ca="1" si="15"/>
        <v>1.9231524028007243</v>
      </c>
      <c r="J40" s="3">
        <f t="shared" ca="1" si="16"/>
        <v>0</v>
      </c>
      <c r="K40" s="3">
        <f t="shared" ca="1" si="19"/>
        <v>2.3619090999393677</v>
      </c>
    </row>
    <row r="41" spans="1:11" x14ac:dyDescent="0.45">
      <c r="A41">
        <v>40</v>
      </c>
      <c r="B41" s="2">
        <f t="shared" ca="1" si="10"/>
        <v>0.87990471740911469</v>
      </c>
      <c r="C41" s="3">
        <f t="shared" ca="1" si="11"/>
        <v>8.9191424566820316</v>
      </c>
      <c r="D41" s="3">
        <f t="shared" ca="1" si="17"/>
        <v>227.92327310295278</v>
      </c>
      <c r="E41" s="3">
        <f t="shared" ca="1" si="12"/>
        <v>0.94876681076322111</v>
      </c>
      <c r="F41" s="3">
        <f t="shared" ca="1" si="13"/>
        <v>5.7438340538161059</v>
      </c>
      <c r="G41" s="3">
        <f t="shared" ca="1" si="18"/>
        <v>227.92327310295278</v>
      </c>
      <c r="H41" s="3">
        <f t="shared" ca="1" si="14"/>
        <v>233.66710715676888</v>
      </c>
      <c r="I41" s="3">
        <f t="shared" ca="1" si="15"/>
        <v>5.7438340538161015</v>
      </c>
      <c r="J41" s="3">
        <f t="shared" ca="1" si="16"/>
        <v>0</v>
      </c>
      <c r="K41" s="3">
        <f t="shared" ca="1" si="19"/>
        <v>6.9959900538813145</v>
      </c>
    </row>
    <row r="42" spans="1:11" x14ac:dyDescent="0.45">
      <c r="A42">
        <v>41</v>
      </c>
      <c r="B42" s="2">
        <f t="shared" ca="1" si="10"/>
        <v>0.20425057037200112</v>
      </c>
      <c r="C42" s="3">
        <f t="shared" ca="1" si="11"/>
        <v>2.8382551333480102</v>
      </c>
      <c r="D42" s="3">
        <f t="shared" ca="1" si="17"/>
        <v>230.76152823630079</v>
      </c>
      <c r="E42" s="3">
        <f t="shared" ca="1" si="12"/>
        <v>0.1310990130851053</v>
      </c>
      <c r="F42" s="3">
        <f t="shared" ca="1" si="13"/>
        <v>1.6554950654255265</v>
      </c>
      <c r="G42" s="3">
        <f t="shared" ca="1" si="18"/>
        <v>233.66710715676888</v>
      </c>
      <c r="H42" s="3">
        <f t="shared" ca="1" si="14"/>
        <v>235.3226022221944</v>
      </c>
      <c r="I42" s="3">
        <f t="shared" ca="1" si="15"/>
        <v>4.5610739858936142</v>
      </c>
      <c r="J42" s="3">
        <f t="shared" ca="1" si="16"/>
        <v>2.9055789204680877</v>
      </c>
      <c r="K42" s="3">
        <f t="shared" ca="1" si="19"/>
        <v>0</v>
      </c>
    </row>
    <row r="43" spans="1:11" x14ac:dyDescent="0.45">
      <c r="A43">
        <v>42</v>
      </c>
      <c r="B43" s="2">
        <f t="shared" ca="1" si="10"/>
        <v>0.89444140920149595</v>
      </c>
      <c r="C43" s="3">
        <f t="shared" ca="1" si="11"/>
        <v>9.049972682813463</v>
      </c>
      <c r="D43" s="3">
        <f t="shared" ca="1" si="17"/>
        <v>239.81150091911425</v>
      </c>
      <c r="E43" s="3">
        <f t="shared" ca="1" si="12"/>
        <v>0.1655510175295829</v>
      </c>
      <c r="F43" s="3">
        <f t="shared" ca="1" si="13"/>
        <v>1.8277550876479145</v>
      </c>
      <c r="G43" s="3">
        <f t="shared" ca="1" si="18"/>
        <v>239.81150091911425</v>
      </c>
      <c r="H43" s="3">
        <f t="shared" ca="1" si="14"/>
        <v>241.63925600676217</v>
      </c>
      <c r="I43" s="3">
        <f t="shared" ca="1" si="15"/>
        <v>1.8277550876479154</v>
      </c>
      <c r="J43" s="3">
        <f t="shared" ca="1" si="16"/>
        <v>0</v>
      </c>
      <c r="K43" s="3">
        <f t="shared" ca="1" si="19"/>
        <v>4.488898696919847</v>
      </c>
    </row>
    <row r="44" spans="1:11" x14ac:dyDescent="0.45">
      <c r="A44">
        <v>43</v>
      </c>
      <c r="B44" s="2">
        <f t="shared" ca="1" si="10"/>
        <v>0.31598716604207266</v>
      </c>
      <c r="C44" s="3">
        <f t="shared" ca="1" si="11"/>
        <v>3.8438844943786541</v>
      </c>
      <c r="D44" s="3">
        <f t="shared" ca="1" si="17"/>
        <v>243.65538541349289</v>
      </c>
      <c r="E44" s="3">
        <f t="shared" ca="1" si="12"/>
        <v>0.92839717979187675</v>
      </c>
      <c r="F44" s="3">
        <f t="shared" ca="1" si="13"/>
        <v>5.6419858989593834</v>
      </c>
      <c r="G44" s="3">
        <f t="shared" ca="1" si="18"/>
        <v>243.65538541349289</v>
      </c>
      <c r="H44" s="3">
        <f t="shared" ca="1" si="14"/>
        <v>249.29737131245227</v>
      </c>
      <c r="I44" s="3">
        <f t="shared" ca="1" si="15"/>
        <v>5.6419858989593763</v>
      </c>
      <c r="J44" s="3">
        <f t="shared" ca="1" si="16"/>
        <v>0</v>
      </c>
      <c r="K44" s="3">
        <f t="shared" ca="1" si="19"/>
        <v>2.0161294067307267</v>
      </c>
    </row>
    <row r="45" spans="1:11" x14ac:dyDescent="0.45">
      <c r="A45">
        <v>44</v>
      </c>
      <c r="B45" s="2">
        <f t="shared" ca="1" si="10"/>
        <v>0.76499447196699788</v>
      </c>
      <c r="C45" s="3">
        <f t="shared" ca="1" si="11"/>
        <v>7.8849502477029807</v>
      </c>
      <c r="D45" s="3">
        <f t="shared" ca="1" si="17"/>
        <v>251.54033566119588</v>
      </c>
      <c r="E45" s="3">
        <f t="shared" ca="1" si="12"/>
        <v>0.71934759014757821</v>
      </c>
      <c r="F45" s="3">
        <f t="shared" ca="1" si="13"/>
        <v>4.5967379507378912</v>
      </c>
      <c r="G45" s="3">
        <f t="shared" ca="1" si="18"/>
        <v>251.54033566119588</v>
      </c>
      <c r="H45" s="3">
        <f t="shared" ca="1" si="14"/>
        <v>256.13707361193377</v>
      </c>
      <c r="I45" s="3">
        <f t="shared" ca="1" si="15"/>
        <v>4.5967379507378894</v>
      </c>
      <c r="J45" s="3">
        <f t="shared" ca="1" si="16"/>
        <v>0</v>
      </c>
      <c r="K45" s="3">
        <f t="shared" ca="1" si="19"/>
        <v>2.2429643487436124</v>
      </c>
    </row>
    <row r="46" spans="1:11" x14ac:dyDescent="0.45">
      <c r="A46">
        <v>45</v>
      </c>
      <c r="B46" s="2">
        <f t="shared" ca="1" si="10"/>
        <v>0.90628743623975294</v>
      </c>
      <c r="C46" s="3">
        <f t="shared" ca="1" si="11"/>
        <v>9.156586926157777</v>
      </c>
      <c r="D46" s="3">
        <f t="shared" ca="1" si="17"/>
        <v>260.69692258735364</v>
      </c>
      <c r="E46" s="3">
        <f t="shared" ca="1" si="12"/>
        <v>0.84864762254995474</v>
      </c>
      <c r="F46" s="3">
        <f t="shared" ca="1" si="13"/>
        <v>5.2432381127497738</v>
      </c>
      <c r="G46" s="3">
        <f t="shared" ca="1" si="18"/>
        <v>260.69692258735364</v>
      </c>
      <c r="H46" s="3">
        <f t="shared" ca="1" si="14"/>
        <v>265.94016070010343</v>
      </c>
      <c r="I46" s="3">
        <f t="shared" ca="1" si="15"/>
        <v>5.2432381127497933</v>
      </c>
      <c r="J46" s="3">
        <f t="shared" ca="1" si="16"/>
        <v>0</v>
      </c>
      <c r="K46" s="3">
        <f t="shared" ca="1" si="19"/>
        <v>4.5598489754198681</v>
      </c>
    </row>
    <row r="47" spans="1:11" x14ac:dyDescent="0.45">
      <c r="A47">
        <v>46</v>
      </c>
      <c r="B47" s="2">
        <f t="shared" ca="1" si="10"/>
        <v>0.9906289987056599</v>
      </c>
      <c r="C47" s="3">
        <f t="shared" ca="1" si="11"/>
        <v>9.9156609883509397</v>
      </c>
      <c r="D47" s="3">
        <f t="shared" ca="1" si="17"/>
        <v>270.6125835757046</v>
      </c>
      <c r="E47" s="3">
        <f t="shared" ca="1" si="12"/>
        <v>0.52515451645104871</v>
      </c>
      <c r="F47" s="3">
        <f t="shared" ca="1" si="13"/>
        <v>3.6257725822552436</v>
      </c>
      <c r="G47" s="3">
        <f t="shared" ca="1" si="18"/>
        <v>270.6125835757046</v>
      </c>
      <c r="H47" s="3">
        <f t="shared" ca="1" si="14"/>
        <v>274.23835615795986</v>
      </c>
      <c r="I47" s="3">
        <f t="shared" ca="1" si="15"/>
        <v>3.6257725822552516</v>
      </c>
      <c r="J47" s="3">
        <f t="shared" ca="1" si="16"/>
        <v>0</v>
      </c>
      <c r="K47" s="3">
        <f t="shared" ca="1" si="19"/>
        <v>4.6724228756011712</v>
      </c>
    </row>
    <row r="48" spans="1:11" x14ac:dyDescent="0.45">
      <c r="A48">
        <v>47</v>
      </c>
      <c r="B48" s="2">
        <f t="shared" ca="1" si="10"/>
        <v>0.95527159470506606</v>
      </c>
      <c r="C48" s="3">
        <f t="shared" ca="1" si="11"/>
        <v>9.5974443523455939</v>
      </c>
      <c r="D48" s="3">
        <f t="shared" ca="1" si="17"/>
        <v>280.21002792805018</v>
      </c>
      <c r="E48" s="3">
        <f t="shared" ca="1" si="12"/>
        <v>0.40800657317409639</v>
      </c>
      <c r="F48" s="3">
        <f t="shared" ca="1" si="13"/>
        <v>3.040032865870482</v>
      </c>
      <c r="G48" s="3">
        <f t="shared" ca="1" si="18"/>
        <v>280.21002792805018</v>
      </c>
      <c r="H48" s="3">
        <f t="shared" ca="1" si="14"/>
        <v>283.25006079392068</v>
      </c>
      <c r="I48" s="3">
        <f t="shared" ca="1" si="15"/>
        <v>3.0400328658705007</v>
      </c>
      <c r="J48" s="3">
        <f t="shared" ca="1" si="16"/>
        <v>0</v>
      </c>
      <c r="K48" s="3">
        <f t="shared" ca="1" si="19"/>
        <v>5.9716717700903246</v>
      </c>
    </row>
    <row r="49" spans="1:11" x14ac:dyDescent="0.45">
      <c r="A49">
        <v>48</v>
      </c>
      <c r="B49" s="2">
        <f t="shared" ca="1" si="10"/>
        <v>0.89991447046546391</v>
      </c>
      <c r="C49" s="3">
        <f t="shared" ca="1" si="11"/>
        <v>9.0992302341891751</v>
      </c>
      <c r="D49" s="3">
        <f t="shared" ca="1" si="17"/>
        <v>289.30925816223936</v>
      </c>
      <c r="E49" s="3">
        <f t="shared" ca="1" si="12"/>
        <v>0.57706998393883946</v>
      </c>
      <c r="F49" s="3">
        <f t="shared" ca="1" si="13"/>
        <v>3.8853499196941974</v>
      </c>
      <c r="G49" s="3">
        <f t="shared" ca="1" si="18"/>
        <v>289.30925816223936</v>
      </c>
      <c r="H49" s="3">
        <f t="shared" ca="1" si="14"/>
        <v>293.19460808193355</v>
      </c>
      <c r="I49" s="3">
        <f t="shared" ca="1" si="15"/>
        <v>3.8853499196941925</v>
      </c>
      <c r="J49" s="3">
        <f t="shared" ca="1" si="16"/>
        <v>0</v>
      </c>
      <c r="K49" s="3">
        <f t="shared" ca="1" si="19"/>
        <v>6.0591973683186779</v>
      </c>
    </row>
    <row r="50" spans="1:11" x14ac:dyDescent="0.45">
      <c r="A50">
        <v>49</v>
      </c>
      <c r="B50" s="2">
        <f t="shared" ca="1" si="10"/>
        <v>0.23459349832149778</v>
      </c>
      <c r="C50" s="3">
        <f t="shared" ca="1" si="11"/>
        <v>3.1113414848934799</v>
      </c>
      <c r="D50" s="3">
        <f t="shared" ca="1" si="17"/>
        <v>292.42059964713286</v>
      </c>
      <c r="E50" s="3">
        <f t="shared" ca="1" si="12"/>
        <v>0.87520248827318292</v>
      </c>
      <c r="F50" s="3">
        <f t="shared" ca="1" si="13"/>
        <v>5.3760124413659147</v>
      </c>
      <c r="G50" s="3">
        <f t="shared" ca="1" si="18"/>
        <v>293.19460808193355</v>
      </c>
      <c r="H50" s="3">
        <f t="shared" ca="1" si="14"/>
        <v>298.57062052329945</v>
      </c>
      <c r="I50" s="3">
        <f t="shared" ca="1" si="15"/>
        <v>6.1500208761665931</v>
      </c>
      <c r="J50" s="3">
        <f t="shared" ca="1" si="16"/>
        <v>0.7740084348006917</v>
      </c>
      <c r="K50" s="3">
        <f t="shared" ca="1" si="19"/>
        <v>0</v>
      </c>
    </row>
    <row r="51" spans="1:11" x14ac:dyDescent="0.45">
      <c r="A51">
        <v>50</v>
      </c>
      <c r="B51" s="2">
        <f t="shared" ca="1" si="10"/>
        <v>0.63636089816579156</v>
      </c>
      <c r="C51" s="3">
        <f t="shared" ca="1" si="11"/>
        <v>6.7272480834921238</v>
      </c>
      <c r="D51" s="3">
        <f t="shared" ca="1" si="17"/>
        <v>299.14784773062496</v>
      </c>
      <c r="E51" s="3">
        <f t="shared" ca="1" si="12"/>
        <v>1.5069935521360267E-2</v>
      </c>
      <c r="F51" s="3">
        <f t="shared" ca="1" si="13"/>
        <v>1.0753496776068014</v>
      </c>
      <c r="G51" s="3">
        <f t="shared" ca="1" si="18"/>
        <v>299.14784773062496</v>
      </c>
      <c r="H51" s="3">
        <f t="shared" ca="1" si="14"/>
        <v>300.22319740823178</v>
      </c>
      <c r="I51" s="3">
        <f t="shared" ca="1" si="15"/>
        <v>1.0753496776068232</v>
      </c>
      <c r="J51" s="3">
        <f t="shared" ca="1" si="16"/>
        <v>0</v>
      </c>
      <c r="K51" s="3">
        <f t="shared" ca="1" si="19"/>
        <v>0.5772272073255067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workbookViewId="0">
      <selection activeCell="B2" sqref="B2:B51"/>
    </sheetView>
  </sheetViews>
  <sheetFormatPr baseColWidth="10" defaultColWidth="9.06640625" defaultRowHeight="14.25" x14ac:dyDescent="0.45"/>
  <cols>
    <col min="1" max="1" width="9" customWidth="1"/>
    <col min="2" max="2" width="18" customWidth="1"/>
    <col min="3" max="3" width="29" customWidth="1"/>
    <col min="4" max="4" width="19" customWidth="1"/>
    <col min="5" max="5" width="20" customWidth="1"/>
    <col min="6" max="6" width="26" customWidth="1"/>
    <col min="7" max="7" width="20" customWidth="1"/>
    <col min="8" max="8" width="17" customWidth="1"/>
    <col min="9" max="9" width="25" customWidth="1"/>
    <col min="10" max="10" width="24" customWidth="1"/>
    <col min="11" max="11" width="32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1</v>
      </c>
      <c r="B2" s="2">
        <f t="shared" ref="B2:B33" ca="1" si="0">RAND()</f>
        <v>0.80952138973045662</v>
      </c>
      <c r="C2" s="3">
        <f t="shared" ref="C2:C33" ca="1" si="1">-LN(1-B2)/0.1</f>
        <v>16.582153727691235</v>
      </c>
      <c r="D2" s="3">
        <f ca="1">C2</f>
        <v>16.582153727691235</v>
      </c>
      <c r="E2" s="3">
        <f t="shared" ref="E2:E33" ca="1" si="2">RAND()</f>
        <v>6.9379950339796381E-2</v>
      </c>
      <c r="F2" s="3">
        <f t="shared" ref="F2:F33" ca="1" si="3">1 + (6-1)*E2</f>
        <v>1.3468997516989818</v>
      </c>
      <c r="G2" s="3">
        <f ca="1">D2</f>
        <v>16.582153727691235</v>
      </c>
      <c r="H2" s="3">
        <f t="shared" ref="H2:H33" ca="1" si="4">G2+F2</f>
        <v>17.929053479390216</v>
      </c>
      <c r="I2" s="3">
        <f t="shared" ref="I2:I33" ca="1" si="5">H2-D2</f>
        <v>1.3468997516989809</v>
      </c>
      <c r="J2" s="3">
        <f t="shared" ref="J2:J33" ca="1" si="6">G2-D2</f>
        <v>0</v>
      </c>
      <c r="K2" s="3">
        <f ca="1">D2</f>
        <v>16.582153727691235</v>
      </c>
    </row>
    <row r="3" spans="1:11" x14ac:dyDescent="0.45">
      <c r="A3">
        <v>2</v>
      </c>
      <c r="B3" s="2">
        <f t="shared" ca="1" si="0"/>
        <v>0.83878925684665984</v>
      </c>
      <c r="C3" s="3">
        <f t="shared" ca="1" si="1"/>
        <v>18.250428062584426</v>
      </c>
      <c r="D3" s="3">
        <f t="shared" ref="D3:D34" ca="1" si="7">D2+C3</f>
        <v>34.832581790275661</v>
      </c>
      <c r="E3" s="3">
        <f t="shared" ca="1" si="2"/>
        <v>0.10028485317144753</v>
      </c>
      <c r="F3" s="3">
        <f t="shared" ca="1" si="3"/>
        <v>1.5014242658572376</v>
      </c>
      <c r="G3" s="3">
        <f t="shared" ref="G3:G34" ca="1" si="8">MAX(D3, H2)</f>
        <v>34.832581790275661</v>
      </c>
      <c r="H3" s="3">
        <f t="shared" ca="1" si="4"/>
        <v>36.3340060561329</v>
      </c>
      <c r="I3" s="3">
        <f t="shared" ca="1" si="5"/>
        <v>1.5014242658572385</v>
      </c>
      <c r="J3" s="3">
        <f t="shared" ca="1" si="6"/>
        <v>0</v>
      </c>
      <c r="K3" s="3">
        <f t="shared" ref="K3:K34" ca="1" si="9">MAX(0, G3-H2)</f>
        <v>16.903528310885445</v>
      </c>
    </row>
    <row r="4" spans="1:11" x14ac:dyDescent="0.45">
      <c r="A4">
        <v>3</v>
      </c>
      <c r="B4" s="2">
        <f t="shared" ca="1" si="0"/>
        <v>0.57777446300019175</v>
      </c>
      <c r="C4" s="3">
        <f t="shared" ca="1" si="1"/>
        <v>8.6221565984567707</v>
      </c>
      <c r="D4" s="3">
        <f t="shared" ca="1" si="7"/>
        <v>43.45473838873243</v>
      </c>
      <c r="E4" s="3">
        <f t="shared" ca="1" si="2"/>
        <v>0.75944657699601348</v>
      </c>
      <c r="F4" s="3">
        <f t="shared" ca="1" si="3"/>
        <v>4.7972328849800672</v>
      </c>
      <c r="G4" s="3">
        <f t="shared" ca="1" si="8"/>
        <v>43.45473838873243</v>
      </c>
      <c r="H4" s="3">
        <f t="shared" ca="1" si="4"/>
        <v>48.251971273712499</v>
      </c>
      <c r="I4" s="3">
        <f t="shared" ca="1" si="5"/>
        <v>4.7972328849800689</v>
      </c>
      <c r="J4" s="3">
        <f t="shared" ca="1" si="6"/>
        <v>0</v>
      </c>
      <c r="K4" s="3">
        <f t="shared" ca="1" si="9"/>
        <v>7.1207323325995304</v>
      </c>
    </row>
    <row r="5" spans="1:11" x14ac:dyDescent="0.45">
      <c r="A5">
        <v>4</v>
      </c>
      <c r="B5" s="2">
        <f t="shared" ca="1" si="0"/>
        <v>0.37286017212798162</v>
      </c>
      <c r="C5" s="3">
        <f t="shared" ca="1" si="1"/>
        <v>4.6658575225230718</v>
      </c>
      <c r="D5" s="3">
        <f t="shared" ca="1" si="7"/>
        <v>48.120595911255499</v>
      </c>
      <c r="E5" s="3">
        <f t="shared" ca="1" si="2"/>
        <v>0.14004039714097682</v>
      </c>
      <c r="F5" s="3">
        <f t="shared" ca="1" si="3"/>
        <v>1.7002019857048842</v>
      </c>
      <c r="G5" s="3">
        <f t="shared" ca="1" si="8"/>
        <v>48.251971273712499</v>
      </c>
      <c r="H5" s="3">
        <f t="shared" ca="1" si="4"/>
        <v>49.952173259417386</v>
      </c>
      <c r="I5" s="3">
        <f t="shared" ca="1" si="5"/>
        <v>1.8315773481618862</v>
      </c>
      <c r="J5" s="3">
        <f t="shared" ca="1" si="6"/>
        <v>0.13137536245699977</v>
      </c>
      <c r="K5" s="3">
        <f t="shared" ca="1" si="9"/>
        <v>0</v>
      </c>
    </row>
    <row r="6" spans="1:11" x14ac:dyDescent="0.45">
      <c r="A6">
        <v>5</v>
      </c>
      <c r="B6" s="2">
        <f t="shared" ca="1" si="0"/>
        <v>0.34196303374936055</v>
      </c>
      <c r="C6" s="3">
        <f t="shared" ca="1" si="1"/>
        <v>4.1849416952262271</v>
      </c>
      <c r="D6" s="3">
        <f t="shared" ca="1" si="7"/>
        <v>52.305537606481728</v>
      </c>
      <c r="E6" s="3">
        <f t="shared" ca="1" si="2"/>
        <v>0.90748439447162299</v>
      </c>
      <c r="F6" s="3">
        <f t="shared" ca="1" si="3"/>
        <v>5.5374219723581151</v>
      </c>
      <c r="G6" s="3">
        <f t="shared" ca="1" si="8"/>
        <v>52.305537606481728</v>
      </c>
      <c r="H6" s="3">
        <f t="shared" ca="1" si="4"/>
        <v>57.842959578839846</v>
      </c>
      <c r="I6" s="3">
        <f t="shared" ca="1" si="5"/>
        <v>5.5374219723581177</v>
      </c>
      <c r="J6" s="3">
        <f t="shared" ca="1" si="6"/>
        <v>0</v>
      </c>
      <c r="K6" s="3">
        <f t="shared" ca="1" si="9"/>
        <v>2.3533643470643426</v>
      </c>
    </row>
    <row r="7" spans="1:11" x14ac:dyDescent="0.45">
      <c r="A7">
        <v>6</v>
      </c>
      <c r="B7" s="2">
        <f t="shared" ca="1" si="0"/>
        <v>0.41414003817480449</v>
      </c>
      <c r="C7" s="3">
        <f t="shared" ca="1" si="1"/>
        <v>5.3467449095826733</v>
      </c>
      <c r="D7" s="3">
        <f t="shared" ca="1" si="7"/>
        <v>57.652282516064403</v>
      </c>
      <c r="E7" s="3">
        <f t="shared" ca="1" si="2"/>
        <v>0.40286855565379665</v>
      </c>
      <c r="F7" s="3">
        <f t="shared" ca="1" si="3"/>
        <v>3.0143427782689831</v>
      </c>
      <c r="G7" s="3">
        <f t="shared" ca="1" si="8"/>
        <v>57.842959578839846</v>
      </c>
      <c r="H7" s="3">
        <f t="shared" ca="1" si="4"/>
        <v>60.857302357108829</v>
      </c>
      <c r="I7" s="3">
        <f t="shared" ca="1" si="5"/>
        <v>3.2050198410444253</v>
      </c>
      <c r="J7" s="3">
        <f t="shared" ca="1" si="6"/>
        <v>0.19067706277544261</v>
      </c>
      <c r="K7" s="3">
        <f t="shared" ca="1" si="9"/>
        <v>0</v>
      </c>
    </row>
    <row r="8" spans="1:11" x14ac:dyDescent="0.45">
      <c r="A8">
        <v>7</v>
      </c>
      <c r="B8" s="2">
        <f t="shared" ca="1" si="0"/>
        <v>0.9107822186012301</v>
      </c>
      <c r="C8" s="3">
        <f t="shared" ca="1" si="1"/>
        <v>24.166749162268193</v>
      </c>
      <c r="D8" s="3">
        <f t="shared" ca="1" si="7"/>
        <v>81.819031678332593</v>
      </c>
      <c r="E8" s="3">
        <f t="shared" ca="1" si="2"/>
        <v>0.81333757294270204</v>
      </c>
      <c r="F8" s="3">
        <f t="shared" ca="1" si="3"/>
        <v>5.0666878647135105</v>
      </c>
      <c r="G8" s="3">
        <f t="shared" ca="1" si="8"/>
        <v>81.819031678332593</v>
      </c>
      <c r="H8" s="3">
        <f t="shared" ca="1" si="4"/>
        <v>86.885719543046108</v>
      </c>
      <c r="I8" s="3">
        <f t="shared" ca="1" si="5"/>
        <v>5.066687864713515</v>
      </c>
      <c r="J8" s="3">
        <f t="shared" ca="1" si="6"/>
        <v>0</v>
      </c>
      <c r="K8" s="3">
        <f t="shared" ca="1" si="9"/>
        <v>20.961729321223764</v>
      </c>
    </row>
    <row r="9" spans="1:11" x14ac:dyDescent="0.45">
      <c r="A9">
        <v>8</v>
      </c>
      <c r="B9" s="2">
        <f t="shared" ca="1" si="0"/>
        <v>0.34459479964876838</v>
      </c>
      <c r="C9" s="3">
        <f t="shared" ca="1" si="1"/>
        <v>4.2250160812694322</v>
      </c>
      <c r="D9" s="3">
        <f t="shared" ca="1" si="7"/>
        <v>86.044047759602023</v>
      </c>
      <c r="E9" s="3">
        <f t="shared" ca="1" si="2"/>
        <v>0.28485099579830386</v>
      </c>
      <c r="F9" s="3">
        <f t="shared" ca="1" si="3"/>
        <v>2.4242549789915193</v>
      </c>
      <c r="G9" s="3">
        <f t="shared" ca="1" si="8"/>
        <v>86.885719543046108</v>
      </c>
      <c r="H9" s="3">
        <f t="shared" ca="1" si="4"/>
        <v>89.309974522037621</v>
      </c>
      <c r="I9" s="3">
        <f t="shared" ca="1" si="5"/>
        <v>3.2659267624355977</v>
      </c>
      <c r="J9" s="3">
        <f t="shared" ca="1" si="6"/>
        <v>0.84167178344408455</v>
      </c>
      <c r="K9" s="3">
        <f t="shared" ca="1" si="9"/>
        <v>0</v>
      </c>
    </row>
    <row r="10" spans="1:11" x14ac:dyDescent="0.45">
      <c r="A10">
        <v>9</v>
      </c>
      <c r="B10" s="2">
        <f t="shared" ca="1" si="0"/>
        <v>0.37567745575753664</v>
      </c>
      <c r="C10" s="3">
        <f t="shared" ca="1" si="1"/>
        <v>4.7108814633391161</v>
      </c>
      <c r="D10" s="3">
        <f t="shared" ca="1" si="7"/>
        <v>90.754929222941144</v>
      </c>
      <c r="E10" s="3">
        <f t="shared" ca="1" si="2"/>
        <v>0.456764406103781</v>
      </c>
      <c r="F10" s="3">
        <f t="shared" ca="1" si="3"/>
        <v>3.283822030518905</v>
      </c>
      <c r="G10" s="3">
        <f t="shared" ca="1" si="8"/>
        <v>90.754929222941144</v>
      </c>
      <c r="H10" s="3">
        <f t="shared" ca="1" si="4"/>
        <v>94.038751253460049</v>
      </c>
      <c r="I10" s="3">
        <f t="shared" ca="1" si="5"/>
        <v>3.2838220305189054</v>
      </c>
      <c r="J10" s="3">
        <f t="shared" ca="1" si="6"/>
        <v>0</v>
      </c>
      <c r="K10" s="3">
        <f t="shared" ca="1" si="9"/>
        <v>1.4449547009035228</v>
      </c>
    </row>
    <row r="11" spans="1:11" x14ac:dyDescent="0.45">
      <c r="A11">
        <v>10</v>
      </c>
      <c r="B11" s="2">
        <f t="shared" ca="1" si="0"/>
        <v>0.31775469436669079</v>
      </c>
      <c r="C11" s="3">
        <f t="shared" ca="1" si="1"/>
        <v>3.8236600013072279</v>
      </c>
      <c r="D11" s="3">
        <f t="shared" ca="1" si="7"/>
        <v>94.578589224248375</v>
      </c>
      <c r="E11" s="3">
        <f t="shared" ca="1" si="2"/>
        <v>0.73182611590717361</v>
      </c>
      <c r="F11" s="3">
        <f t="shared" ca="1" si="3"/>
        <v>4.6591305795358675</v>
      </c>
      <c r="G11" s="3">
        <f t="shared" ca="1" si="8"/>
        <v>94.578589224248375</v>
      </c>
      <c r="H11" s="3">
        <f t="shared" ca="1" si="4"/>
        <v>99.237719803784245</v>
      </c>
      <c r="I11" s="3">
        <f t="shared" ca="1" si="5"/>
        <v>4.6591305795358693</v>
      </c>
      <c r="J11" s="3">
        <f t="shared" ca="1" si="6"/>
        <v>0</v>
      </c>
      <c r="K11" s="3">
        <f t="shared" ca="1" si="9"/>
        <v>0.53983797078832652</v>
      </c>
    </row>
    <row r="12" spans="1:11" x14ac:dyDescent="0.45">
      <c r="A12">
        <v>11</v>
      </c>
      <c r="B12" s="2">
        <f t="shared" ca="1" si="0"/>
        <v>0.77249310687758022</v>
      </c>
      <c r="C12" s="3">
        <f t="shared" ca="1" si="1"/>
        <v>14.805747416109428</v>
      </c>
      <c r="D12" s="3">
        <f t="shared" ca="1" si="7"/>
        <v>109.3843366403578</v>
      </c>
      <c r="E12" s="3">
        <f t="shared" ca="1" si="2"/>
        <v>3.8534655542079133E-2</v>
      </c>
      <c r="F12" s="3">
        <f t="shared" ca="1" si="3"/>
        <v>1.1926732777103957</v>
      </c>
      <c r="G12" s="3">
        <f t="shared" ca="1" si="8"/>
        <v>109.3843366403578</v>
      </c>
      <c r="H12" s="3">
        <f t="shared" ca="1" si="4"/>
        <v>110.5770099180682</v>
      </c>
      <c r="I12" s="3">
        <f t="shared" ca="1" si="5"/>
        <v>1.1926732777103979</v>
      </c>
      <c r="J12" s="3">
        <f t="shared" ca="1" si="6"/>
        <v>0</v>
      </c>
      <c r="K12" s="3">
        <f t="shared" ca="1" si="9"/>
        <v>10.146616836573557</v>
      </c>
    </row>
    <row r="13" spans="1:11" x14ac:dyDescent="0.45">
      <c r="A13">
        <v>12</v>
      </c>
      <c r="B13" s="2">
        <f t="shared" ca="1" si="0"/>
        <v>0.65430789192468042</v>
      </c>
      <c r="C13" s="3">
        <f t="shared" ca="1" si="1"/>
        <v>10.622067611397867</v>
      </c>
      <c r="D13" s="3">
        <f t="shared" ca="1" si="7"/>
        <v>120.00640425175567</v>
      </c>
      <c r="E13" s="3">
        <f t="shared" ca="1" si="2"/>
        <v>0.90326044794378268</v>
      </c>
      <c r="F13" s="3">
        <f t="shared" ca="1" si="3"/>
        <v>5.5163022397189136</v>
      </c>
      <c r="G13" s="3">
        <f t="shared" ca="1" si="8"/>
        <v>120.00640425175567</v>
      </c>
      <c r="H13" s="3">
        <f t="shared" ca="1" si="4"/>
        <v>125.52270649147458</v>
      </c>
      <c r="I13" s="3">
        <f t="shared" ca="1" si="5"/>
        <v>5.516302239718911</v>
      </c>
      <c r="J13" s="3">
        <f t="shared" ca="1" si="6"/>
        <v>0</v>
      </c>
      <c r="K13" s="3">
        <f t="shared" ca="1" si="9"/>
        <v>9.429394333687469</v>
      </c>
    </row>
    <row r="14" spans="1:11" x14ac:dyDescent="0.45">
      <c r="A14">
        <v>13</v>
      </c>
      <c r="B14" s="2">
        <f t="shared" ca="1" si="0"/>
        <v>0.74552751896445291</v>
      </c>
      <c r="C14" s="3">
        <f t="shared" ca="1" si="1"/>
        <v>13.685625783643157</v>
      </c>
      <c r="D14" s="3">
        <f t="shared" ca="1" si="7"/>
        <v>133.69203003539883</v>
      </c>
      <c r="E14" s="3">
        <f t="shared" ca="1" si="2"/>
        <v>0.67505480376785865</v>
      </c>
      <c r="F14" s="3">
        <f t="shared" ca="1" si="3"/>
        <v>4.3752740188392938</v>
      </c>
      <c r="G14" s="3">
        <f t="shared" ca="1" si="8"/>
        <v>133.69203003539883</v>
      </c>
      <c r="H14" s="3">
        <f t="shared" ca="1" si="4"/>
        <v>138.06730405423812</v>
      </c>
      <c r="I14" s="3">
        <f t="shared" ca="1" si="5"/>
        <v>4.375274018839292</v>
      </c>
      <c r="J14" s="3">
        <f t="shared" ca="1" si="6"/>
        <v>0</v>
      </c>
      <c r="K14" s="3">
        <f t="shared" ca="1" si="9"/>
        <v>8.16932354392425</v>
      </c>
    </row>
    <row r="15" spans="1:11" x14ac:dyDescent="0.45">
      <c r="A15">
        <v>14</v>
      </c>
      <c r="B15" s="2">
        <f t="shared" ca="1" si="0"/>
        <v>0.69500159743628243</v>
      </c>
      <c r="C15" s="3">
        <f t="shared" ca="1" si="1"/>
        <v>11.87448739884449</v>
      </c>
      <c r="D15" s="3">
        <f t="shared" ca="1" si="7"/>
        <v>145.56651743424331</v>
      </c>
      <c r="E15" s="3">
        <f t="shared" ca="1" si="2"/>
        <v>0.54481742108696585</v>
      </c>
      <c r="F15" s="3">
        <f t="shared" ca="1" si="3"/>
        <v>3.7240871054348292</v>
      </c>
      <c r="G15" s="3">
        <f t="shared" ca="1" si="8"/>
        <v>145.56651743424331</v>
      </c>
      <c r="H15" s="3">
        <f t="shared" ca="1" si="4"/>
        <v>149.29060453967813</v>
      </c>
      <c r="I15" s="3">
        <f t="shared" ca="1" si="5"/>
        <v>3.724087105434819</v>
      </c>
      <c r="J15" s="3">
        <f t="shared" ca="1" si="6"/>
        <v>0</v>
      </c>
      <c r="K15" s="3">
        <f t="shared" ca="1" si="9"/>
        <v>7.4992133800051874</v>
      </c>
    </row>
    <row r="16" spans="1:11" x14ac:dyDescent="0.45">
      <c r="A16">
        <v>15</v>
      </c>
      <c r="B16" s="2">
        <f t="shared" ca="1" si="0"/>
        <v>0.22427891996382576</v>
      </c>
      <c r="C16" s="3">
        <f t="shared" ca="1" si="1"/>
        <v>2.5396225635349583</v>
      </c>
      <c r="D16" s="3">
        <f t="shared" ca="1" si="7"/>
        <v>148.10613999777826</v>
      </c>
      <c r="E16" s="3">
        <f t="shared" ca="1" si="2"/>
        <v>0.27602770929952258</v>
      </c>
      <c r="F16" s="3">
        <f t="shared" ca="1" si="3"/>
        <v>2.380138546497613</v>
      </c>
      <c r="G16" s="3">
        <f t="shared" ca="1" si="8"/>
        <v>149.29060453967813</v>
      </c>
      <c r="H16" s="3">
        <f t="shared" ca="1" si="4"/>
        <v>151.67074308617575</v>
      </c>
      <c r="I16" s="3">
        <f t="shared" ca="1" si="5"/>
        <v>3.5646030883974902</v>
      </c>
      <c r="J16" s="3">
        <f t="shared" ca="1" si="6"/>
        <v>1.1844645418998709</v>
      </c>
      <c r="K16" s="3">
        <f t="shared" ca="1" si="9"/>
        <v>0</v>
      </c>
    </row>
    <row r="17" spans="1:11" x14ac:dyDescent="0.45">
      <c r="A17">
        <v>16</v>
      </c>
      <c r="B17" s="2">
        <f t="shared" ca="1" si="0"/>
        <v>0.45732016110504969</v>
      </c>
      <c r="C17" s="3">
        <f t="shared" ca="1" si="1"/>
        <v>6.1123574823440636</v>
      </c>
      <c r="D17" s="3">
        <f t="shared" ca="1" si="7"/>
        <v>154.21849748012232</v>
      </c>
      <c r="E17" s="3">
        <f t="shared" ca="1" si="2"/>
        <v>0.36027550089122451</v>
      </c>
      <c r="F17" s="3">
        <f t="shared" ca="1" si="3"/>
        <v>2.8013775044561227</v>
      </c>
      <c r="G17" s="3">
        <f t="shared" ca="1" si="8"/>
        <v>154.21849748012232</v>
      </c>
      <c r="H17" s="3">
        <f t="shared" ca="1" si="4"/>
        <v>157.01987498457845</v>
      </c>
      <c r="I17" s="3">
        <f t="shared" ca="1" si="5"/>
        <v>2.8013775044561271</v>
      </c>
      <c r="J17" s="3">
        <f t="shared" ca="1" si="6"/>
        <v>0</v>
      </c>
      <c r="K17" s="3">
        <f t="shared" ca="1" si="9"/>
        <v>2.5477543939465761</v>
      </c>
    </row>
    <row r="18" spans="1:11" x14ac:dyDescent="0.45">
      <c r="A18">
        <v>17</v>
      </c>
      <c r="B18" s="2">
        <f t="shared" ca="1" si="0"/>
        <v>8.241869201899843E-2</v>
      </c>
      <c r="C18" s="3">
        <f t="shared" ca="1" si="1"/>
        <v>0.86014083926985252</v>
      </c>
      <c r="D18" s="3">
        <f t="shared" ca="1" si="7"/>
        <v>155.07863831939218</v>
      </c>
      <c r="E18" s="3">
        <f t="shared" ca="1" si="2"/>
        <v>0.78887770015966963</v>
      </c>
      <c r="F18" s="3">
        <f t="shared" ca="1" si="3"/>
        <v>4.9443885007983486</v>
      </c>
      <c r="G18" s="3">
        <f t="shared" ca="1" si="8"/>
        <v>157.01987498457845</v>
      </c>
      <c r="H18" s="3">
        <f t="shared" ca="1" si="4"/>
        <v>161.96426348537679</v>
      </c>
      <c r="I18" s="3">
        <f t="shared" ca="1" si="5"/>
        <v>6.8856251659846066</v>
      </c>
      <c r="J18" s="3">
        <f t="shared" ca="1" si="6"/>
        <v>1.9412366651862669</v>
      </c>
      <c r="K18" s="3">
        <f t="shared" ca="1" si="9"/>
        <v>0</v>
      </c>
    </row>
    <row r="19" spans="1:11" x14ac:dyDescent="0.45">
      <c r="A19">
        <v>18</v>
      </c>
      <c r="B19" s="2">
        <f t="shared" ca="1" si="0"/>
        <v>0.48627904783054476</v>
      </c>
      <c r="C19" s="3">
        <f t="shared" ca="1" si="1"/>
        <v>6.6607505555956488</v>
      </c>
      <c r="D19" s="3">
        <f t="shared" ca="1" si="7"/>
        <v>161.73938887498784</v>
      </c>
      <c r="E19" s="3">
        <f t="shared" ca="1" si="2"/>
        <v>8.5865214298985637E-2</v>
      </c>
      <c r="F19" s="3">
        <f t="shared" ca="1" si="3"/>
        <v>1.4293260714949283</v>
      </c>
      <c r="G19" s="3">
        <f t="shared" ca="1" si="8"/>
        <v>161.96426348537679</v>
      </c>
      <c r="H19" s="3">
        <f t="shared" ca="1" si="4"/>
        <v>163.39358955687172</v>
      </c>
      <c r="I19" s="3">
        <f t="shared" ca="1" si="5"/>
        <v>1.6542006818838786</v>
      </c>
      <c r="J19" s="3">
        <f t="shared" ca="1" si="6"/>
        <v>0.22487461038895162</v>
      </c>
      <c r="K19" s="3">
        <f t="shared" ca="1" si="9"/>
        <v>0</v>
      </c>
    </row>
    <row r="20" spans="1:11" x14ac:dyDescent="0.45">
      <c r="A20">
        <v>19</v>
      </c>
      <c r="B20" s="2">
        <f t="shared" ca="1" si="0"/>
        <v>0.36999520940299879</v>
      </c>
      <c r="C20" s="3">
        <f t="shared" ca="1" si="1"/>
        <v>4.6202785550324572</v>
      </c>
      <c r="D20" s="3">
        <f t="shared" ca="1" si="7"/>
        <v>166.35966743002029</v>
      </c>
      <c r="E20" s="3">
        <f t="shared" ca="1" si="2"/>
        <v>0.97553051327876661</v>
      </c>
      <c r="F20" s="3">
        <f t="shared" ca="1" si="3"/>
        <v>5.8776525663938326</v>
      </c>
      <c r="G20" s="3">
        <f t="shared" ca="1" si="8"/>
        <v>166.35966743002029</v>
      </c>
      <c r="H20" s="3">
        <f t="shared" ca="1" si="4"/>
        <v>172.23731999641413</v>
      </c>
      <c r="I20" s="3">
        <f t="shared" ca="1" si="5"/>
        <v>5.8776525663938344</v>
      </c>
      <c r="J20" s="3">
        <f t="shared" ca="1" si="6"/>
        <v>0</v>
      </c>
      <c r="K20" s="3">
        <f t="shared" ca="1" si="9"/>
        <v>2.9660778731485777</v>
      </c>
    </row>
    <row r="21" spans="1:11" x14ac:dyDescent="0.45">
      <c r="A21">
        <v>20</v>
      </c>
      <c r="B21" s="2">
        <f t="shared" ca="1" si="0"/>
        <v>0.5343410675759076</v>
      </c>
      <c r="C21" s="3">
        <f t="shared" ca="1" si="1"/>
        <v>7.6430181749880504</v>
      </c>
      <c r="D21" s="3">
        <f t="shared" ca="1" si="7"/>
        <v>174.00268560500834</v>
      </c>
      <c r="E21" s="3">
        <f t="shared" ca="1" si="2"/>
        <v>0.45420447288091459</v>
      </c>
      <c r="F21" s="3">
        <f t="shared" ca="1" si="3"/>
        <v>3.2710223644045731</v>
      </c>
      <c r="G21" s="3">
        <f t="shared" ca="1" si="8"/>
        <v>174.00268560500834</v>
      </c>
      <c r="H21" s="3">
        <f t="shared" ca="1" si="4"/>
        <v>177.27370796941292</v>
      </c>
      <c r="I21" s="3">
        <f t="shared" ca="1" si="5"/>
        <v>3.2710223644045868</v>
      </c>
      <c r="J21" s="3">
        <f t="shared" ca="1" si="6"/>
        <v>0</v>
      </c>
      <c r="K21" s="3">
        <f t="shared" ca="1" si="9"/>
        <v>1.7653656085942089</v>
      </c>
    </row>
    <row r="22" spans="1:11" x14ac:dyDescent="0.45">
      <c r="A22">
        <v>21</v>
      </c>
      <c r="B22" s="2">
        <f t="shared" ca="1" si="0"/>
        <v>0.68588747053941912</v>
      </c>
      <c r="C22" s="3">
        <f t="shared" ca="1" si="1"/>
        <v>11.580039831962525</v>
      </c>
      <c r="D22" s="3">
        <f t="shared" ca="1" si="7"/>
        <v>185.58272543697086</v>
      </c>
      <c r="E22" s="3">
        <f t="shared" ca="1" si="2"/>
        <v>0.85967280049258343</v>
      </c>
      <c r="F22" s="3">
        <f t="shared" ca="1" si="3"/>
        <v>5.2983640024629173</v>
      </c>
      <c r="G22" s="3">
        <f t="shared" ca="1" si="8"/>
        <v>185.58272543697086</v>
      </c>
      <c r="H22" s="3">
        <f t="shared" ca="1" si="4"/>
        <v>190.88108943943377</v>
      </c>
      <c r="I22" s="3">
        <f t="shared" ca="1" si="5"/>
        <v>5.298364002462904</v>
      </c>
      <c r="J22" s="3">
        <f t="shared" ca="1" si="6"/>
        <v>0</v>
      </c>
      <c r="K22" s="3">
        <f t="shared" ca="1" si="9"/>
        <v>8.3090174675579362</v>
      </c>
    </row>
    <row r="23" spans="1:11" x14ac:dyDescent="0.45">
      <c r="A23">
        <v>22</v>
      </c>
      <c r="B23" s="2">
        <f t="shared" ca="1" si="0"/>
        <v>0.82662644802499596</v>
      </c>
      <c r="C23" s="3">
        <f t="shared" ca="1" si="1"/>
        <v>17.523067523646926</v>
      </c>
      <c r="D23" s="3">
        <f t="shared" ca="1" si="7"/>
        <v>203.10579296061778</v>
      </c>
      <c r="E23" s="3">
        <f t="shared" ca="1" si="2"/>
        <v>0.87599079820222114</v>
      </c>
      <c r="F23" s="3">
        <f t="shared" ca="1" si="3"/>
        <v>5.3799539910111056</v>
      </c>
      <c r="G23" s="3">
        <f t="shared" ca="1" si="8"/>
        <v>203.10579296061778</v>
      </c>
      <c r="H23" s="3">
        <f t="shared" ca="1" si="4"/>
        <v>208.48574695162887</v>
      </c>
      <c r="I23" s="3">
        <f t="shared" ca="1" si="5"/>
        <v>5.3799539910110923</v>
      </c>
      <c r="J23" s="3">
        <f t="shared" ca="1" si="6"/>
        <v>0</v>
      </c>
      <c r="K23" s="3">
        <f t="shared" ca="1" si="9"/>
        <v>12.224703521184011</v>
      </c>
    </row>
    <row r="24" spans="1:11" x14ac:dyDescent="0.45">
      <c r="A24">
        <v>23</v>
      </c>
      <c r="B24" s="2">
        <f t="shared" ca="1" si="0"/>
        <v>0.98168631086702107</v>
      </c>
      <c r="C24" s="3">
        <f t="shared" ca="1" si="1"/>
        <v>40.001064587237821</v>
      </c>
      <c r="D24" s="3">
        <f t="shared" ca="1" si="7"/>
        <v>243.10685754785561</v>
      </c>
      <c r="E24" s="3">
        <f t="shared" ca="1" si="2"/>
        <v>0.59302606630093524</v>
      </c>
      <c r="F24" s="3">
        <f t="shared" ca="1" si="3"/>
        <v>3.9651303315046764</v>
      </c>
      <c r="G24" s="3">
        <f t="shared" ca="1" si="8"/>
        <v>243.10685754785561</v>
      </c>
      <c r="H24" s="3">
        <f t="shared" ca="1" si="4"/>
        <v>247.07198787936028</v>
      </c>
      <c r="I24" s="3">
        <f t="shared" ca="1" si="5"/>
        <v>3.9651303315046675</v>
      </c>
      <c r="J24" s="3">
        <f t="shared" ca="1" si="6"/>
        <v>0</v>
      </c>
      <c r="K24" s="3">
        <f t="shared" ca="1" si="9"/>
        <v>34.621110596226742</v>
      </c>
    </row>
    <row r="25" spans="1:11" x14ac:dyDescent="0.45">
      <c r="A25">
        <v>24</v>
      </c>
      <c r="B25" s="2">
        <f t="shared" ca="1" si="0"/>
        <v>0.42243750395895108</v>
      </c>
      <c r="C25" s="3">
        <f t="shared" ca="1" si="1"/>
        <v>5.4893862418846258</v>
      </c>
      <c r="D25" s="3">
        <f t="shared" ca="1" si="7"/>
        <v>248.59624378974024</v>
      </c>
      <c r="E25" s="3">
        <f t="shared" ca="1" si="2"/>
        <v>8.7443215622297621E-2</v>
      </c>
      <c r="F25" s="3">
        <f t="shared" ca="1" si="3"/>
        <v>1.4372160781114882</v>
      </c>
      <c r="G25" s="3">
        <f t="shared" ca="1" si="8"/>
        <v>248.59624378974024</v>
      </c>
      <c r="H25" s="3">
        <f t="shared" ca="1" si="4"/>
        <v>250.03345986785172</v>
      </c>
      <c r="I25" s="3">
        <f t="shared" ca="1" si="5"/>
        <v>1.4372160781114758</v>
      </c>
      <c r="J25" s="3">
        <f t="shared" ca="1" si="6"/>
        <v>0</v>
      </c>
      <c r="K25" s="3">
        <f t="shared" ca="1" si="9"/>
        <v>1.5242559103799636</v>
      </c>
    </row>
    <row r="26" spans="1:11" x14ac:dyDescent="0.45">
      <c r="A26">
        <v>25</v>
      </c>
      <c r="B26" s="2">
        <f t="shared" ca="1" si="0"/>
        <v>7.0008377618088202E-2</v>
      </c>
      <c r="C26" s="3">
        <f t="shared" ca="1" si="1"/>
        <v>0.72579701066902114</v>
      </c>
      <c r="D26" s="3">
        <f t="shared" ca="1" si="7"/>
        <v>249.32204080040927</v>
      </c>
      <c r="E26" s="3">
        <f t="shared" ca="1" si="2"/>
        <v>0.21204700643015439</v>
      </c>
      <c r="F26" s="3">
        <f t="shared" ca="1" si="3"/>
        <v>2.0602350321507719</v>
      </c>
      <c r="G26" s="3">
        <f t="shared" ca="1" si="8"/>
        <v>250.03345986785172</v>
      </c>
      <c r="H26" s="3">
        <f t="shared" ca="1" si="4"/>
        <v>252.0936949000025</v>
      </c>
      <c r="I26" s="3">
        <f t="shared" ca="1" si="5"/>
        <v>2.7716540995932348</v>
      </c>
      <c r="J26" s="3">
        <f t="shared" ca="1" si="6"/>
        <v>0.7114190674424492</v>
      </c>
      <c r="K26" s="3">
        <f t="shared" ca="1" si="9"/>
        <v>0</v>
      </c>
    </row>
    <row r="27" spans="1:11" x14ac:dyDescent="0.45">
      <c r="A27">
        <v>26</v>
      </c>
      <c r="B27" s="2">
        <f t="shared" ca="1" si="0"/>
        <v>0.46306786287941204</v>
      </c>
      <c r="C27" s="3">
        <f t="shared" ca="1" si="1"/>
        <v>6.2188356653626631</v>
      </c>
      <c r="D27" s="3">
        <f t="shared" ca="1" si="7"/>
        <v>255.54087646577193</v>
      </c>
      <c r="E27" s="3">
        <f t="shared" ca="1" si="2"/>
        <v>0.95377727322623929</v>
      </c>
      <c r="F27" s="3">
        <f t="shared" ca="1" si="3"/>
        <v>5.7688863661311967</v>
      </c>
      <c r="G27" s="3">
        <f t="shared" ca="1" si="8"/>
        <v>255.54087646577193</v>
      </c>
      <c r="H27" s="3">
        <f t="shared" ca="1" si="4"/>
        <v>261.30976283190313</v>
      </c>
      <c r="I27" s="3">
        <f t="shared" ca="1" si="5"/>
        <v>5.7688863661311984</v>
      </c>
      <c r="J27" s="3">
        <f t="shared" ca="1" si="6"/>
        <v>0</v>
      </c>
      <c r="K27" s="3">
        <f t="shared" ca="1" si="9"/>
        <v>3.4471815657694265</v>
      </c>
    </row>
    <row r="28" spans="1:11" x14ac:dyDescent="0.45">
      <c r="A28">
        <v>27</v>
      </c>
      <c r="B28" s="2">
        <f t="shared" ca="1" si="0"/>
        <v>0.81720543971003423</v>
      </c>
      <c r="C28" s="3">
        <f t="shared" ca="1" si="1"/>
        <v>16.99392378118392</v>
      </c>
      <c r="D28" s="3">
        <f t="shared" ca="1" si="7"/>
        <v>272.53480024695585</v>
      </c>
      <c r="E28" s="3">
        <f t="shared" ca="1" si="2"/>
        <v>0.79003599020226134</v>
      </c>
      <c r="F28" s="3">
        <f t="shared" ca="1" si="3"/>
        <v>4.9501799510113065</v>
      </c>
      <c r="G28" s="3">
        <f t="shared" ca="1" si="8"/>
        <v>272.53480024695585</v>
      </c>
      <c r="H28" s="3">
        <f t="shared" ca="1" si="4"/>
        <v>277.48498019796716</v>
      </c>
      <c r="I28" s="3">
        <f t="shared" ca="1" si="5"/>
        <v>4.9501799510113074</v>
      </c>
      <c r="J28" s="3">
        <f t="shared" ca="1" si="6"/>
        <v>0</v>
      </c>
      <c r="K28" s="3">
        <f t="shared" ca="1" si="9"/>
        <v>11.225037415052725</v>
      </c>
    </row>
    <row r="29" spans="1:11" x14ac:dyDescent="0.45">
      <c r="A29">
        <v>28</v>
      </c>
      <c r="B29" s="2">
        <f t="shared" ca="1" si="0"/>
        <v>0.54379353042221468</v>
      </c>
      <c r="C29" s="3">
        <f t="shared" ca="1" si="1"/>
        <v>7.8480978778175787</v>
      </c>
      <c r="D29" s="3">
        <f t="shared" ca="1" si="7"/>
        <v>280.38289812477342</v>
      </c>
      <c r="E29" s="3">
        <f t="shared" ca="1" si="2"/>
        <v>0.55204705736162396</v>
      </c>
      <c r="F29" s="3">
        <f t="shared" ca="1" si="3"/>
        <v>3.7602352868081197</v>
      </c>
      <c r="G29" s="3">
        <f t="shared" ca="1" si="8"/>
        <v>280.38289812477342</v>
      </c>
      <c r="H29" s="3">
        <f t="shared" ca="1" si="4"/>
        <v>284.14313341158152</v>
      </c>
      <c r="I29" s="3">
        <f t="shared" ca="1" si="5"/>
        <v>3.760235286808097</v>
      </c>
      <c r="J29" s="3">
        <f t="shared" ca="1" si="6"/>
        <v>0</v>
      </c>
      <c r="K29" s="3">
        <f t="shared" ca="1" si="9"/>
        <v>2.897917926806258</v>
      </c>
    </row>
    <row r="30" spans="1:11" x14ac:dyDescent="0.45">
      <c r="A30">
        <v>29</v>
      </c>
      <c r="B30" s="2">
        <f t="shared" ca="1" si="0"/>
        <v>0.83508130952070736</v>
      </c>
      <c r="C30" s="3">
        <f t="shared" ca="1" si="1"/>
        <v>18.023027115139591</v>
      </c>
      <c r="D30" s="3">
        <f t="shared" ca="1" si="7"/>
        <v>298.40592523991302</v>
      </c>
      <c r="E30" s="3">
        <f t="shared" ca="1" si="2"/>
        <v>0.8954434395858496</v>
      </c>
      <c r="F30" s="3">
        <f t="shared" ca="1" si="3"/>
        <v>5.4772171979292477</v>
      </c>
      <c r="G30" s="3">
        <f t="shared" ca="1" si="8"/>
        <v>298.40592523991302</v>
      </c>
      <c r="H30" s="3">
        <f t="shared" ca="1" si="4"/>
        <v>303.88314243784225</v>
      </c>
      <c r="I30" s="3">
        <f t="shared" ca="1" si="5"/>
        <v>5.4772171979292352</v>
      </c>
      <c r="J30" s="3">
        <f t="shared" ca="1" si="6"/>
        <v>0</v>
      </c>
      <c r="K30" s="3">
        <f t="shared" ca="1" si="9"/>
        <v>14.262791828331501</v>
      </c>
    </row>
    <row r="31" spans="1:11" x14ac:dyDescent="0.45">
      <c r="A31">
        <v>30</v>
      </c>
      <c r="B31" s="2">
        <f t="shared" ca="1" si="0"/>
        <v>0.29892728126366652</v>
      </c>
      <c r="C31" s="3">
        <f t="shared" ca="1" si="1"/>
        <v>3.5514366161255517</v>
      </c>
      <c r="D31" s="3">
        <f t="shared" ca="1" si="7"/>
        <v>301.95736185603857</v>
      </c>
      <c r="E31" s="3">
        <f t="shared" ca="1" si="2"/>
        <v>0.21885310072009312</v>
      </c>
      <c r="F31" s="3">
        <f t="shared" ca="1" si="3"/>
        <v>2.0942655036004654</v>
      </c>
      <c r="G31" s="3">
        <f t="shared" ca="1" si="8"/>
        <v>303.88314243784225</v>
      </c>
      <c r="H31" s="3">
        <f t="shared" ca="1" si="4"/>
        <v>305.97740794144272</v>
      </c>
      <c r="I31" s="3">
        <f t="shared" ca="1" si="5"/>
        <v>4.0200460854041467</v>
      </c>
      <c r="J31" s="3">
        <f t="shared" ca="1" si="6"/>
        <v>1.9257805818036786</v>
      </c>
      <c r="K31" s="3">
        <f t="shared" ca="1" si="9"/>
        <v>0</v>
      </c>
    </row>
    <row r="32" spans="1:11" x14ac:dyDescent="0.45">
      <c r="A32">
        <v>31</v>
      </c>
      <c r="B32" s="2">
        <f t="shared" ca="1" si="0"/>
        <v>2.3125217083060479E-2</v>
      </c>
      <c r="C32" s="3">
        <f t="shared" ca="1" si="1"/>
        <v>0.23396800028363593</v>
      </c>
      <c r="D32" s="3">
        <f t="shared" ca="1" si="7"/>
        <v>302.19132985632223</v>
      </c>
      <c r="E32" s="3">
        <f t="shared" ca="1" si="2"/>
        <v>0.3903827990695421</v>
      </c>
      <c r="F32" s="3">
        <f t="shared" ca="1" si="3"/>
        <v>2.9519139953477103</v>
      </c>
      <c r="G32" s="3">
        <f t="shared" ca="1" si="8"/>
        <v>305.97740794144272</v>
      </c>
      <c r="H32" s="3">
        <f t="shared" ca="1" si="4"/>
        <v>308.92932193679042</v>
      </c>
      <c r="I32" s="3">
        <f t="shared" ca="1" si="5"/>
        <v>6.7379920804681888</v>
      </c>
      <c r="J32" s="3">
        <f t="shared" ca="1" si="6"/>
        <v>3.7860780851204936</v>
      </c>
      <c r="K32" s="3">
        <f t="shared" ca="1" si="9"/>
        <v>0</v>
      </c>
    </row>
    <row r="33" spans="1:11" x14ac:dyDescent="0.45">
      <c r="A33">
        <v>32</v>
      </c>
      <c r="B33" s="2">
        <f t="shared" ca="1" si="0"/>
        <v>0.23515293126025205</v>
      </c>
      <c r="C33" s="3">
        <f t="shared" ca="1" si="1"/>
        <v>2.6807937528441785</v>
      </c>
      <c r="D33" s="3">
        <f t="shared" ca="1" si="7"/>
        <v>304.87212360916641</v>
      </c>
      <c r="E33" s="3">
        <f t="shared" ca="1" si="2"/>
        <v>0.88081498327475216</v>
      </c>
      <c r="F33" s="3">
        <f t="shared" ca="1" si="3"/>
        <v>5.4040749163737605</v>
      </c>
      <c r="G33" s="3">
        <f t="shared" ca="1" si="8"/>
        <v>308.92932193679042</v>
      </c>
      <c r="H33" s="3">
        <f t="shared" ca="1" si="4"/>
        <v>314.33339685316417</v>
      </c>
      <c r="I33" s="3">
        <f t="shared" ca="1" si="5"/>
        <v>9.4612732439977663</v>
      </c>
      <c r="J33" s="3">
        <f t="shared" ca="1" si="6"/>
        <v>4.0571983276240076</v>
      </c>
      <c r="K33" s="3">
        <f t="shared" ca="1" si="9"/>
        <v>0</v>
      </c>
    </row>
    <row r="34" spans="1:11" x14ac:dyDescent="0.45">
      <c r="A34">
        <v>33</v>
      </c>
      <c r="B34" s="2">
        <f t="shared" ref="B34:B51" ca="1" si="10">RAND()</f>
        <v>0.25040829138784404</v>
      </c>
      <c r="C34" s="3">
        <f t="shared" ref="C34:C65" ca="1" si="11">-LN(1-B34)/0.1</f>
        <v>2.8822660920213514</v>
      </c>
      <c r="D34" s="3">
        <f t="shared" ca="1" si="7"/>
        <v>307.75438970118773</v>
      </c>
      <c r="E34" s="3">
        <f t="shared" ref="E34:E51" ca="1" si="12">RAND()</f>
        <v>0.90141229846310589</v>
      </c>
      <c r="F34" s="3">
        <f t="shared" ref="F34:F65" ca="1" si="13">1 + (6-1)*E34</f>
        <v>5.507061492315529</v>
      </c>
      <c r="G34" s="3">
        <f t="shared" ca="1" si="8"/>
        <v>314.33339685316417</v>
      </c>
      <c r="H34" s="3">
        <f t="shared" ref="H34:H65" ca="1" si="14">G34+F34</f>
        <v>319.8404583454797</v>
      </c>
      <c r="I34" s="3">
        <f t="shared" ref="I34:I65" ca="1" si="15">H34-D34</f>
        <v>12.08606864429197</v>
      </c>
      <c r="J34" s="3">
        <f t="shared" ref="J34:J51" ca="1" si="16">G34-D34</f>
        <v>6.579007151976441</v>
      </c>
      <c r="K34" s="3">
        <f t="shared" ca="1" si="9"/>
        <v>0</v>
      </c>
    </row>
    <row r="35" spans="1:11" x14ac:dyDescent="0.45">
      <c r="A35">
        <v>34</v>
      </c>
      <c r="B35" s="2">
        <f t="shared" ca="1" si="10"/>
        <v>0.73005418800606414</v>
      </c>
      <c r="C35" s="3">
        <f t="shared" ca="1" si="11"/>
        <v>13.095340364447196</v>
      </c>
      <c r="D35" s="3">
        <f t="shared" ref="D35:D66" ca="1" si="17">D34+C35</f>
        <v>320.84973006563496</v>
      </c>
      <c r="E35" s="3">
        <f t="shared" ca="1" si="12"/>
        <v>0.58266513385718155</v>
      </c>
      <c r="F35" s="3">
        <f t="shared" ca="1" si="13"/>
        <v>3.913325669285908</v>
      </c>
      <c r="G35" s="3">
        <f t="shared" ref="G35:G51" ca="1" si="18">MAX(D35, H34)</f>
        <v>320.84973006563496</v>
      </c>
      <c r="H35" s="3">
        <f t="shared" ca="1" si="14"/>
        <v>324.76305573492084</v>
      </c>
      <c r="I35" s="3">
        <f t="shared" ca="1" si="15"/>
        <v>3.9133256692858822</v>
      </c>
      <c r="J35" s="3">
        <f t="shared" ca="1" si="16"/>
        <v>0</v>
      </c>
      <c r="K35" s="3">
        <f t="shared" ref="K35:K51" ca="1" si="19">MAX(0, G35-H34)</f>
        <v>1.0092717201552546</v>
      </c>
    </row>
    <row r="36" spans="1:11" x14ac:dyDescent="0.45">
      <c r="A36">
        <v>35</v>
      </c>
      <c r="B36" s="2">
        <f t="shared" ca="1" si="10"/>
        <v>0.2207454010940737</v>
      </c>
      <c r="C36" s="3">
        <f t="shared" ca="1" si="11"/>
        <v>2.4941745864414755</v>
      </c>
      <c r="D36" s="3">
        <f t="shared" ca="1" si="17"/>
        <v>323.34390465207645</v>
      </c>
      <c r="E36" s="3">
        <f t="shared" ca="1" si="12"/>
        <v>0.62575685296549433</v>
      </c>
      <c r="F36" s="3">
        <f t="shared" ca="1" si="13"/>
        <v>4.1287842648274715</v>
      </c>
      <c r="G36" s="3">
        <f t="shared" ca="1" si="18"/>
        <v>324.76305573492084</v>
      </c>
      <c r="H36" s="3">
        <f t="shared" ca="1" si="14"/>
        <v>328.8918399997483</v>
      </c>
      <c r="I36" s="3">
        <f t="shared" ca="1" si="15"/>
        <v>5.5479353476718529</v>
      </c>
      <c r="J36" s="3">
        <f t="shared" ca="1" si="16"/>
        <v>1.4191510828443938</v>
      </c>
      <c r="K36" s="3">
        <f t="shared" ca="1" si="19"/>
        <v>0</v>
      </c>
    </row>
    <row r="37" spans="1:11" x14ac:dyDescent="0.45">
      <c r="A37">
        <v>36</v>
      </c>
      <c r="B37" s="2">
        <f t="shared" ca="1" si="10"/>
        <v>0.18937478442986222</v>
      </c>
      <c r="C37" s="3">
        <f t="shared" ca="1" si="11"/>
        <v>2.0994945798068501</v>
      </c>
      <c r="D37" s="3">
        <f t="shared" ca="1" si="17"/>
        <v>325.44339923188329</v>
      </c>
      <c r="E37" s="3">
        <f t="shared" ca="1" si="12"/>
        <v>3.6548905980252511E-2</v>
      </c>
      <c r="F37" s="3">
        <f t="shared" ca="1" si="13"/>
        <v>1.1827445299012624</v>
      </c>
      <c r="G37" s="3">
        <f t="shared" ca="1" si="18"/>
        <v>328.8918399997483</v>
      </c>
      <c r="H37" s="3">
        <f t="shared" ca="1" si="14"/>
        <v>330.07458452964954</v>
      </c>
      <c r="I37" s="3">
        <f t="shared" ca="1" si="15"/>
        <v>4.6311852977662511</v>
      </c>
      <c r="J37" s="3">
        <f t="shared" ca="1" si="16"/>
        <v>3.4484407678650086</v>
      </c>
      <c r="K37" s="3">
        <f t="shared" ca="1" si="19"/>
        <v>0</v>
      </c>
    </row>
    <row r="38" spans="1:11" x14ac:dyDescent="0.45">
      <c r="A38">
        <v>37</v>
      </c>
      <c r="B38" s="2">
        <f t="shared" ca="1" si="10"/>
        <v>0.90623123583443066</v>
      </c>
      <c r="C38" s="3">
        <f t="shared" ca="1" si="11"/>
        <v>23.669234830597691</v>
      </c>
      <c r="D38" s="3">
        <f t="shared" ca="1" si="17"/>
        <v>349.11263406248099</v>
      </c>
      <c r="E38" s="3">
        <f t="shared" ca="1" si="12"/>
        <v>0.43097803194287421</v>
      </c>
      <c r="F38" s="3">
        <f t="shared" ca="1" si="13"/>
        <v>3.154890159714371</v>
      </c>
      <c r="G38" s="3">
        <f t="shared" ca="1" si="18"/>
        <v>349.11263406248099</v>
      </c>
      <c r="H38" s="3">
        <f t="shared" ca="1" si="14"/>
        <v>352.26752422219539</v>
      </c>
      <c r="I38" s="3">
        <f t="shared" ca="1" si="15"/>
        <v>3.1548901597143981</v>
      </c>
      <c r="J38" s="3">
        <f t="shared" ca="1" si="16"/>
        <v>0</v>
      </c>
      <c r="K38" s="3">
        <f t="shared" ca="1" si="19"/>
        <v>19.038049532831451</v>
      </c>
    </row>
    <row r="39" spans="1:11" x14ac:dyDescent="0.45">
      <c r="A39">
        <v>38</v>
      </c>
      <c r="B39" s="2">
        <f t="shared" ca="1" si="10"/>
        <v>0.15530238393270035</v>
      </c>
      <c r="C39" s="3">
        <f t="shared" ca="1" si="11"/>
        <v>1.6877656647677219</v>
      </c>
      <c r="D39" s="3">
        <f t="shared" ca="1" si="17"/>
        <v>350.8003997272487</v>
      </c>
      <c r="E39" s="3">
        <f t="shared" ca="1" si="12"/>
        <v>0.62741737774856121</v>
      </c>
      <c r="F39" s="3">
        <f t="shared" ca="1" si="13"/>
        <v>4.1370868887428056</v>
      </c>
      <c r="G39" s="3">
        <f t="shared" ca="1" si="18"/>
        <v>352.26752422219539</v>
      </c>
      <c r="H39" s="3">
        <f t="shared" ca="1" si="14"/>
        <v>356.40461111093822</v>
      </c>
      <c r="I39" s="3">
        <f t="shared" ca="1" si="15"/>
        <v>5.6042113836895169</v>
      </c>
      <c r="J39" s="3">
        <f t="shared" ca="1" si="16"/>
        <v>1.4671244949466882</v>
      </c>
      <c r="K39" s="3">
        <f t="shared" ca="1" si="19"/>
        <v>0</v>
      </c>
    </row>
    <row r="40" spans="1:11" x14ac:dyDescent="0.45">
      <c r="A40">
        <v>39</v>
      </c>
      <c r="B40" s="2">
        <f t="shared" ca="1" si="10"/>
        <v>0.24633373688873594</v>
      </c>
      <c r="C40" s="3">
        <f t="shared" ca="1" si="11"/>
        <v>2.8280563082850505</v>
      </c>
      <c r="D40" s="3">
        <f t="shared" ca="1" si="17"/>
        <v>353.62845603553376</v>
      </c>
      <c r="E40" s="3">
        <f t="shared" ca="1" si="12"/>
        <v>0.78916203545660923</v>
      </c>
      <c r="F40" s="3">
        <f t="shared" ca="1" si="13"/>
        <v>4.9458101772830467</v>
      </c>
      <c r="G40" s="3">
        <f t="shared" ca="1" si="18"/>
        <v>356.40461111093822</v>
      </c>
      <c r="H40" s="3">
        <f t="shared" ca="1" si="14"/>
        <v>361.35042128822124</v>
      </c>
      <c r="I40" s="3">
        <f t="shared" ca="1" si="15"/>
        <v>7.7219652526874825</v>
      </c>
      <c r="J40" s="3">
        <f t="shared" ca="1" si="16"/>
        <v>2.7761550754044606</v>
      </c>
      <c r="K40" s="3">
        <f t="shared" ca="1" si="19"/>
        <v>0</v>
      </c>
    </row>
    <row r="41" spans="1:11" x14ac:dyDescent="0.45">
      <c r="A41">
        <v>40</v>
      </c>
      <c r="B41" s="2">
        <f t="shared" ca="1" si="10"/>
        <v>0.3205662195514728</v>
      </c>
      <c r="C41" s="3">
        <f t="shared" ca="1" si="11"/>
        <v>3.864955034900424</v>
      </c>
      <c r="D41" s="3">
        <f t="shared" ca="1" si="17"/>
        <v>357.49341107043421</v>
      </c>
      <c r="E41" s="3">
        <f t="shared" ca="1" si="12"/>
        <v>0.10027073602670211</v>
      </c>
      <c r="F41" s="3">
        <f t="shared" ca="1" si="13"/>
        <v>1.5013536801335106</v>
      </c>
      <c r="G41" s="3">
        <f t="shared" ca="1" si="18"/>
        <v>361.35042128822124</v>
      </c>
      <c r="H41" s="3">
        <f t="shared" ca="1" si="14"/>
        <v>362.85177496835473</v>
      </c>
      <c r="I41" s="3">
        <f t="shared" ca="1" si="15"/>
        <v>5.3583638979205261</v>
      </c>
      <c r="J41" s="3">
        <f t="shared" ca="1" si="16"/>
        <v>3.8570102177870353</v>
      </c>
      <c r="K41" s="3">
        <f t="shared" ca="1" si="19"/>
        <v>0</v>
      </c>
    </row>
    <row r="42" spans="1:11" x14ac:dyDescent="0.45">
      <c r="A42">
        <v>41</v>
      </c>
      <c r="B42" s="2">
        <f t="shared" ca="1" si="10"/>
        <v>0.41621957140503618</v>
      </c>
      <c r="C42" s="3">
        <f t="shared" ca="1" si="11"/>
        <v>5.382303452848034</v>
      </c>
      <c r="D42" s="3">
        <f t="shared" ca="1" si="17"/>
        <v>362.87571452328223</v>
      </c>
      <c r="E42" s="3">
        <f t="shared" ca="1" si="12"/>
        <v>4.7383054468941199E-2</v>
      </c>
      <c r="F42" s="3">
        <f t="shared" ca="1" si="13"/>
        <v>1.2369152723447061</v>
      </c>
      <c r="G42" s="3">
        <f t="shared" ca="1" si="18"/>
        <v>362.87571452328223</v>
      </c>
      <c r="H42" s="3">
        <f t="shared" ca="1" si="14"/>
        <v>364.11262979562696</v>
      </c>
      <c r="I42" s="3">
        <f t="shared" ca="1" si="15"/>
        <v>1.2369152723447314</v>
      </c>
      <c r="J42" s="3">
        <f t="shared" ca="1" si="16"/>
        <v>0</v>
      </c>
      <c r="K42" s="3">
        <f t="shared" ca="1" si="19"/>
        <v>2.3939554927494555E-2</v>
      </c>
    </row>
    <row r="43" spans="1:11" x14ac:dyDescent="0.45">
      <c r="A43">
        <v>42</v>
      </c>
      <c r="B43" s="2">
        <f t="shared" ca="1" si="10"/>
        <v>0.57114149616333776</v>
      </c>
      <c r="C43" s="3">
        <f t="shared" ca="1" si="11"/>
        <v>8.4662824234586882</v>
      </c>
      <c r="D43" s="3">
        <f t="shared" ca="1" si="17"/>
        <v>371.34199694674089</v>
      </c>
      <c r="E43" s="3">
        <f t="shared" ca="1" si="12"/>
        <v>0.73374762362813617</v>
      </c>
      <c r="F43" s="3">
        <f t="shared" ca="1" si="13"/>
        <v>4.6687381181406806</v>
      </c>
      <c r="G43" s="3">
        <f t="shared" ca="1" si="18"/>
        <v>371.34199694674089</v>
      </c>
      <c r="H43" s="3">
        <f t="shared" ca="1" si="14"/>
        <v>376.0107350648816</v>
      </c>
      <c r="I43" s="3">
        <f t="shared" ca="1" si="15"/>
        <v>4.668738118140709</v>
      </c>
      <c r="J43" s="3">
        <f t="shared" ca="1" si="16"/>
        <v>0</v>
      </c>
      <c r="K43" s="3">
        <f t="shared" ca="1" si="19"/>
        <v>7.2293671511139337</v>
      </c>
    </row>
    <row r="44" spans="1:11" x14ac:dyDescent="0.45">
      <c r="A44">
        <v>43</v>
      </c>
      <c r="B44" s="2">
        <f t="shared" ca="1" si="10"/>
        <v>0.12721684512083287</v>
      </c>
      <c r="C44" s="3">
        <f t="shared" ca="1" si="11"/>
        <v>1.3606814474213842</v>
      </c>
      <c r="D44" s="3">
        <f t="shared" ca="1" si="17"/>
        <v>372.70267839416226</v>
      </c>
      <c r="E44" s="3">
        <f t="shared" ca="1" si="12"/>
        <v>0.2160732777527915</v>
      </c>
      <c r="F44" s="3">
        <f t="shared" ca="1" si="13"/>
        <v>2.0803663887639576</v>
      </c>
      <c r="G44" s="3">
        <f t="shared" ca="1" si="18"/>
        <v>376.0107350648816</v>
      </c>
      <c r="H44" s="3">
        <f t="shared" ca="1" si="14"/>
        <v>378.09110145364554</v>
      </c>
      <c r="I44" s="3">
        <f t="shared" ca="1" si="15"/>
        <v>5.3884230594832729</v>
      </c>
      <c r="J44" s="3">
        <f t="shared" ca="1" si="16"/>
        <v>3.3080566707193384</v>
      </c>
      <c r="K44" s="3">
        <f t="shared" ca="1" si="19"/>
        <v>0</v>
      </c>
    </row>
    <row r="45" spans="1:11" x14ac:dyDescent="0.45">
      <c r="A45">
        <v>44</v>
      </c>
      <c r="B45" s="2">
        <f t="shared" ca="1" si="10"/>
        <v>6.0840908314715447E-2</v>
      </c>
      <c r="C45" s="3">
        <f t="shared" ca="1" si="11"/>
        <v>0.62770387410066031</v>
      </c>
      <c r="D45" s="3">
        <f t="shared" ca="1" si="17"/>
        <v>373.33038226826289</v>
      </c>
      <c r="E45" s="3">
        <f t="shared" ca="1" si="12"/>
        <v>0.47340660853271921</v>
      </c>
      <c r="F45" s="3">
        <f t="shared" ca="1" si="13"/>
        <v>3.3670330426635959</v>
      </c>
      <c r="G45" s="3">
        <f t="shared" ca="1" si="18"/>
        <v>378.09110145364554</v>
      </c>
      <c r="H45" s="3">
        <f t="shared" ca="1" si="14"/>
        <v>381.45813449630913</v>
      </c>
      <c r="I45" s="3">
        <f t="shared" ca="1" si="15"/>
        <v>8.1277522280462335</v>
      </c>
      <c r="J45" s="3">
        <f t="shared" ca="1" si="16"/>
        <v>4.7607191853826407</v>
      </c>
      <c r="K45" s="3">
        <f t="shared" ca="1" si="19"/>
        <v>0</v>
      </c>
    </row>
    <row r="46" spans="1:11" x14ac:dyDescent="0.45">
      <c r="A46">
        <v>45</v>
      </c>
      <c r="B46" s="2">
        <f t="shared" ca="1" si="10"/>
        <v>0.75217696217004282</v>
      </c>
      <c r="C46" s="3">
        <f t="shared" ca="1" si="11"/>
        <v>13.950403446574891</v>
      </c>
      <c r="D46" s="3">
        <f t="shared" ca="1" si="17"/>
        <v>387.2807857148378</v>
      </c>
      <c r="E46" s="3">
        <f t="shared" ca="1" si="12"/>
        <v>0.80499410001903171</v>
      </c>
      <c r="F46" s="3">
        <f t="shared" ca="1" si="13"/>
        <v>5.0249705000951588</v>
      </c>
      <c r="G46" s="3">
        <f t="shared" ca="1" si="18"/>
        <v>387.2807857148378</v>
      </c>
      <c r="H46" s="3">
        <f t="shared" ca="1" si="14"/>
        <v>392.30575621493296</v>
      </c>
      <c r="I46" s="3">
        <f t="shared" ca="1" si="15"/>
        <v>5.0249705000951508</v>
      </c>
      <c r="J46" s="3">
        <f t="shared" ca="1" si="16"/>
        <v>0</v>
      </c>
      <c r="K46" s="3">
        <f t="shared" ca="1" si="19"/>
        <v>5.8226512185286765</v>
      </c>
    </row>
    <row r="47" spans="1:11" x14ac:dyDescent="0.45">
      <c r="A47">
        <v>46</v>
      </c>
      <c r="B47" s="2">
        <f t="shared" ca="1" si="10"/>
        <v>0.80431422009956721</v>
      </c>
      <c r="C47" s="3">
        <f t="shared" ca="1" si="11"/>
        <v>16.312450699670659</v>
      </c>
      <c r="D47" s="3">
        <f t="shared" ca="1" si="17"/>
        <v>403.59323641450845</v>
      </c>
      <c r="E47" s="3">
        <f t="shared" ca="1" si="12"/>
        <v>0.55660680455814526</v>
      </c>
      <c r="F47" s="3">
        <f t="shared" ca="1" si="13"/>
        <v>3.7830340227907264</v>
      </c>
      <c r="G47" s="3">
        <f t="shared" ca="1" si="18"/>
        <v>403.59323641450845</v>
      </c>
      <c r="H47" s="3">
        <f t="shared" ca="1" si="14"/>
        <v>407.37627043729918</v>
      </c>
      <c r="I47" s="3">
        <f t="shared" ca="1" si="15"/>
        <v>3.78303402279073</v>
      </c>
      <c r="J47" s="3">
        <f t="shared" ca="1" si="16"/>
        <v>0</v>
      </c>
      <c r="K47" s="3">
        <f t="shared" ca="1" si="19"/>
        <v>11.287480199575498</v>
      </c>
    </row>
    <row r="48" spans="1:11" x14ac:dyDescent="0.45">
      <c r="A48">
        <v>47</v>
      </c>
      <c r="B48" s="2">
        <f t="shared" ca="1" si="10"/>
        <v>0.14349715911417116</v>
      </c>
      <c r="C48" s="3">
        <f t="shared" ca="1" si="11"/>
        <v>1.5489764436902205</v>
      </c>
      <c r="D48" s="3">
        <f t="shared" ca="1" si="17"/>
        <v>405.14221285819866</v>
      </c>
      <c r="E48" s="3">
        <f t="shared" ca="1" si="12"/>
        <v>0.55961925869587648</v>
      </c>
      <c r="F48" s="3">
        <f t="shared" ca="1" si="13"/>
        <v>3.7980962934793823</v>
      </c>
      <c r="G48" s="3">
        <f t="shared" ca="1" si="18"/>
        <v>407.37627043729918</v>
      </c>
      <c r="H48" s="3">
        <f t="shared" ca="1" si="14"/>
        <v>411.17436673077856</v>
      </c>
      <c r="I48" s="3">
        <f t="shared" ca="1" si="15"/>
        <v>6.0321538725798973</v>
      </c>
      <c r="J48" s="3">
        <f t="shared" ca="1" si="16"/>
        <v>2.2340575791005222</v>
      </c>
      <c r="K48" s="3">
        <f t="shared" ca="1" si="19"/>
        <v>0</v>
      </c>
    </row>
    <row r="49" spans="1:11" x14ac:dyDescent="0.45">
      <c r="A49">
        <v>48</v>
      </c>
      <c r="B49" s="2">
        <f t="shared" ca="1" si="10"/>
        <v>0.76437474907353853</v>
      </c>
      <c r="C49" s="3">
        <f t="shared" ca="1" si="11"/>
        <v>14.455126558405393</v>
      </c>
      <c r="D49" s="3">
        <f t="shared" ca="1" si="17"/>
        <v>419.59733941660403</v>
      </c>
      <c r="E49" s="3">
        <f t="shared" ca="1" si="12"/>
        <v>8.2104885861311372E-2</v>
      </c>
      <c r="F49" s="3">
        <f t="shared" ca="1" si="13"/>
        <v>1.4105244293065569</v>
      </c>
      <c r="G49" s="3">
        <f t="shared" ca="1" si="18"/>
        <v>419.59733941660403</v>
      </c>
      <c r="H49" s="3">
        <f t="shared" ca="1" si="14"/>
        <v>421.00786384591061</v>
      </c>
      <c r="I49" s="3">
        <f t="shared" ca="1" si="15"/>
        <v>1.4105244293065766</v>
      </c>
      <c r="J49" s="3">
        <f t="shared" ca="1" si="16"/>
        <v>0</v>
      </c>
      <c r="K49" s="3">
        <f t="shared" ca="1" si="19"/>
        <v>8.4229726858254708</v>
      </c>
    </row>
    <row r="50" spans="1:11" x14ac:dyDescent="0.45">
      <c r="A50">
        <v>49</v>
      </c>
      <c r="B50" s="2">
        <f t="shared" ca="1" si="10"/>
        <v>0.69644667487247447</v>
      </c>
      <c r="C50" s="3">
        <f t="shared" ca="1" si="11"/>
        <v>11.921979833311964</v>
      </c>
      <c r="D50" s="3">
        <f t="shared" ca="1" si="17"/>
        <v>431.51931924991601</v>
      </c>
      <c r="E50" s="3">
        <f t="shared" ca="1" si="12"/>
        <v>0.22261628443179349</v>
      </c>
      <c r="F50" s="3">
        <f t="shared" ca="1" si="13"/>
        <v>2.1130814221589675</v>
      </c>
      <c r="G50" s="3">
        <f t="shared" ca="1" si="18"/>
        <v>431.51931924991601</v>
      </c>
      <c r="H50" s="3">
        <f t="shared" ca="1" si="14"/>
        <v>433.63240067207499</v>
      </c>
      <c r="I50" s="3">
        <f t="shared" ca="1" si="15"/>
        <v>2.1130814221589844</v>
      </c>
      <c r="J50" s="3">
        <f t="shared" ca="1" si="16"/>
        <v>0</v>
      </c>
      <c r="K50" s="3">
        <f t="shared" ca="1" si="19"/>
        <v>10.511455404005403</v>
      </c>
    </row>
    <row r="51" spans="1:11" x14ac:dyDescent="0.45">
      <c r="A51">
        <v>50</v>
      </c>
      <c r="B51" s="2">
        <f t="shared" ca="1" si="10"/>
        <v>1.3763313710963954E-2</v>
      </c>
      <c r="C51" s="3">
        <f t="shared" ca="1" si="11"/>
        <v>0.13858906239875948</v>
      </c>
      <c r="D51" s="3">
        <f t="shared" ca="1" si="17"/>
        <v>431.65790831231476</v>
      </c>
      <c r="E51" s="3">
        <f t="shared" ca="1" si="12"/>
        <v>0.92887889827384496</v>
      </c>
      <c r="F51" s="3">
        <f t="shared" ca="1" si="13"/>
        <v>5.6443944913692246</v>
      </c>
      <c r="G51" s="3">
        <f t="shared" ca="1" si="18"/>
        <v>433.63240067207499</v>
      </c>
      <c r="H51" s="3">
        <f t="shared" ca="1" si="14"/>
        <v>439.27679516344421</v>
      </c>
      <c r="I51" s="3">
        <f t="shared" ca="1" si="15"/>
        <v>7.6188868511294459</v>
      </c>
      <c r="J51" s="3">
        <f t="shared" ca="1" si="16"/>
        <v>1.9744923597602337</v>
      </c>
      <c r="K51" s="3">
        <f t="shared" ca="1" si="19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workbookViewId="0">
      <selection activeCell="D12" sqref="D12"/>
    </sheetView>
  </sheetViews>
  <sheetFormatPr baseColWidth="10" defaultColWidth="9.06640625" defaultRowHeight="14.25" x14ac:dyDescent="0.45"/>
  <cols>
    <col min="1" max="1" width="9" customWidth="1"/>
    <col min="2" max="2" width="18" customWidth="1"/>
    <col min="3" max="3" width="29" customWidth="1"/>
    <col min="4" max="4" width="19" customWidth="1"/>
    <col min="5" max="5" width="20" customWidth="1"/>
    <col min="6" max="6" width="31" customWidth="1"/>
    <col min="7" max="7" width="20" customWidth="1"/>
    <col min="8" max="8" width="17" customWidth="1"/>
    <col min="9" max="9" width="25" customWidth="1"/>
    <col min="10" max="10" width="24" customWidth="1"/>
    <col min="11" max="11" width="32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1</v>
      </c>
      <c r="B2" s="2">
        <f t="shared" ref="B2:B33" ca="1" si="0">RAND()</f>
        <v>0.43632341939530672</v>
      </c>
      <c r="C2" s="3">
        <f t="shared" ref="C2:C33" ca="1" si="1">1 + (10-1)*B2</f>
        <v>4.9269107745577605</v>
      </c>
      <c r="D2" s="3">
        <f ca="1">C2</f>
        <v>4.9269107745577605</v>
      </c>
      <c r="E2" s="3">
        <f t="shared" ref="E2:E33" ca="1" si="2">RAND()</f>
        <v>0.56680463710971518</v>
      </c>
      <c r="F2" s="3">
        <f t="shared" ref="F2:F33" ca="1" si="3">MAX(0.1, NORMINV(E2, 3, 3))</f>
        <v>3.5047342937852677</v>
      </c>
      <c r="G2" s="3">
        <f ca="1">D2</f>
        <v>4.9269107745577605</v>
      </c>
      <c r="H2" s="3">
        <f t="shared" ref="H2:H33" ca="1" si="4">G2+F2</f>
        <v>8.4316450683430286</v>
      </c>
      <c r="I2" s="3">
        <f t="shared" ref="I2:I33" ca="1" si="5">H2-D2</f>
        <v>3.5047342937852681</v>
      </c>
      <c r="J2" s="3">
        <f t="shared" ref="J2:J33" ca="1" si="6">G2-D2</f>
        <v>0</v>
      </c>
      <c r="K2" s="3">
        <f ca="1">D2</f>
        <v>4.9269107745577605</v>
      </c>
    </row>
    <row r="3" spans="1:11" x14ac:dyDescent="0.45">
      <c r="A3">
        <v>2</v>
      </c>
      <c r="B3" s="2">
        <f t="shared" ca="1" si="0"/>
        <v>0.51237350531666093</v>
      </c>
      <c r="C3" s="3">
        <f t="shared" ca="1" si="1"/>
        <v>5.6113615478499481</v>
      </c>
      <c r="D3" s="3">
        <f t="shared" ref="D3:D34" ca="1" si="7">D2+C3</f>
        <v>10.538272322407709</v>
      </c>
      <c r="E3" s="3">
        <f t="shared" ca="1" si="2"/>
        <v>0.53375020887239089</v>
      </c>
      <c r="F3" s="3">
        <f t="shared" ca="1" si="3"/>
        <v>3.2541011837842277</v>
      </c>
      <c r="G3" s="3">
        <f t="shared" ref="G3:G34" ca="1" si="8">MAX(D3, H2)</f>
        <v>10.538272322407709</v>
      </c>
      <c r="H3" s="3">
        <f t="shared" ca="1" si="4"/>
        <v>13.792373506191936</v>
      </c>
      <c r="I3" s="3">
        <f t="shared" ca="1" si="5"/>
        <v>3.2541011837842273</v>
      </c>
      <c r="J3" s="3">
        <f t="shared" ca="1" si="6"/>
        <v>0</v>
      </c>
      <c r="K3" s="3">
        <f t="shared" ref="K3:K34" ca="1" si="9">MAX(0, G3-H2)</f>
        <v>2.10662725406468</v>
      </c>
    </row>
    <row r="4" spans="1:11" x14ac:dyDescent="0.45">
      <c r="A4">
        <v>3</v>
      </c>
      <c r="B4" s="2">
        <f t="shared" ca="1" si="0"/>
        <v>0.81411676643514796</v>
      </c>
      <c r="C4" s="3">
        <f t="shared" ca="1" si="1"/>
        <v>8.3270508979163314</v>
      </c>
      <c r="D4" s="3">
        <f t="shared" ca="1" si="7"/>
        <v>18.86532322032404</v>
      </c>
      <c r="E4" s="3">
        <f t="shared" ca="1" si="2"/>
        <v>0.28060901592708687</v>
      </c>
      <c r="F4" s="3">
        <f t="shared" ca="1" si="3"/>
        <v>1.2569001945502993</v>
      </c>
      <c r="G4" s="3">
        <f t="shared" ca="1" si="8"/>
        <v>18.86532322032404</v>
      </c>
      <c r="H4" s="3">
        <f t="shared" ca="1" si="4"/>
        <v>20.122223414874341</v>
      </c>
      <c r="I4" s="3">
        <f t="shared" ca="1" si="5"/>
        <v>1.2569001945503011</v>
      </c>
      <c r="J4" s="3">
        <f t="shared" ca="1" si="6"/>
        <v>0</v>
      </c>
      <c r="K4" s="3">
        <f t="shared" ca="1" si="9"/>
        <v>5.072949714132104</v>
      </c>
    </row>
    <row r="5" spans="1:11" x14ac:dyDescent="0.45">
      <c r="A5">
        <v>4</v>
      </c>
      <c r="B5" s="2">
        <f t="shared" ca="1" si="0"/>
        <v>0.14268820140598115</v>
      </c>
      <c r="C5" s="3">
        <f t="shared" ca="1" si="1"/>
        <v>2.2841938126538306</v>
      </c>
      <c r="D5" s="3">
        <f t="shared" ca="1" si="7"/>
        <v>21.149517032977869</v>
      </c>
      <c r="E5" s="3">
        <f t="shared" ca="1" si="2"/>
        <v>0.11759338620675153</v>
      </c>
      <c r="F5" s="3">
        <f t="shared" ca="1" si="3"/>
        <v>0.1</v>
      </c>
      <c r="G5" s="3">
        <f t="shared" ca="1" si="8"/>
        <v>21.149517032977869</v>
      </c>
      <c r="H5" s="3">
        <f t="shared" ca="1" si="4"/>
        <v>21.24951703297787</v>
      </c>
      <c r="I5" s="3">
        <f t="shared" ca="1" si="5"/>
        <v>0.10000000000000142</v>
      </c>
      <c r="J5" s="3">
        <f t="shared" ca="1" si="6"/>
        <v>0</v>
      </c>
      <c r="K5" s="3">
        <f t="shared" ca="1" si="9"/>
        <v>1.0272936181035277</v>
      </c>
    </row>
    <row r="6" spans="1:11" x14ac:dyDescent="0.45">
      <c r="A6">
        <v>5</v>
      </c>
      <c r="B6" s="2">
        <f t="shared" ca="1" si="0"/>
        <v>0.26892830252233635</v>
      </c>
      <c r="C6" s="3">
        <f t="shared" ca="1" si="1"/>
        <v>3.4203547227010271</v>
      </c>
      <c r="D6" s="3">
        <f t="shared" ca="1" si="7"/>
        <v>24.569871755678896</v>
      </c>
      <c r="E6" s="3">
        <f t="shared" ca="1" si="2"/>
        <v>0.43320749661927405</v>
      </c>
      <c r="F6" s="3">
        <f t="shared" ca="1" si="3"/>
        <v>2.4953582507945002</v>
      </c>
      <c r="G6" s="3">
        <f t="shared" ca="1" si="8"/>
        <v>24.569871755678896</v>
      </c>
      <c r="H6" s="3">
        <f t="shared" ca="1" si="4"/>
        <v>27.065230006473396</v>
      </c>
      <c r="I6" s="3">
        <f t="shared" ca="1" si="5"/>
        <v>2.4953582507944994</v>
      </c>
      <c r="J6" s="3">
        <f t="shared" ca="1" si="6"/>
        <v>0</v>
      </c>
      <c r="K6" s="3">
        <f t="shared" ca="1" si="9"/>
        <v>3.3203547227010262</v>
      </c>
    </row>
    <row r="7" spans="1:11" x14ac:dyDescent="0.45">
      <c r="A7">
        <v>6</v>
      </c>
      <c r="B7" s="2">
        <f t="shared" ca="1" si="0"/>
        <v>0.17637024891303144</v>
      </c>
      <c r="C7" s="3">
        <f t="shared" ca="1" si="1"/>
        <v>2.5873322402172829</v>
      </c>
      <c r="D7" s="3">
        <f t="shared" ca="1" si="7"/>
        <v>27.157203995896179</v>
      </c>
      <c r="E7" s="3">
        <f t="shared" ca="1" si="2"/>
        <v>0.76447224805867486</v>
      </c>
      <c r="F7" s="3">
        <f t="shared" ca="1" si="3"/>
        <v>5.1622882185787358</v>
      </c>
      <c r="G7" s="3">
        <f t="shared" ca="1" si="8"/>
        <v>27.157203995896179</v>
      </c>
      <c r="H7" s="3">
        <f t="shared" ca="1" si="4"/>
        <v>32.319492214474913</v>
      </c>
      <c r="I7" s="3">
        <f t="shared" ca="1" si="5"/>
        <v>5.162288218578734</v>
      </c>
      <c r="J7" s="3">
        <f t="shared" ca="1" si="6"/>
        <v>0</v>
      </c>
      <c r="K7" s="3">
        <f t="shared" ca="1" si="9"/>
        <v>9.197398942278312E-2</v>
      </c>
    </row>
    <row r="8" spans="1:11" x14ac:dyDescent="0.45">
      <c r="A8">
        <v>7</v>
      </c>
      <c r="B8" s="2">
        <f t="shared" ca="1" si="0"/>
        <v>0.46028059550316791</v>
      </c>
      <c r="C8" s="3">
        <f t="shared" ca="1" si="1"/>
        <v>5.142525359528511</v>
      </c>
      <c r="D8" s="3">
        <f t="shared" ca="1" si="7"/>
        <v>32.299729355424688</v>
      </c>
      <c r="E8" s="3">
        <f t="shared" ca="1" si="2"/>
        <v>7.6165433994577203E-3</v>
      </c>
      <c r="F8" s="3">
        <f t="shared" ca="1" si="3"/>
        <v>0.1</v>
      </c>
      <c r="G8" s="3">
        <f t="shared" ca="1" si="8"/>
        <v>32.319492214474913</v>
      </c>
      <c r="H8" s="3">
        <f t="shared" ca="1" si="4"/>
        <v>32.419492214474914</v>
      </c>
      <c r="I8" s="3">
        <f t="shared" ca="1" si="5"/>
        <v>0.11976285905022621</v>
      </c>
      <c r="J8" s="3">
        <f t="shared" ca="1" si="6"/>
        <v>1.976285905022479E-2</v>
      </c>
      <c r="K8" s="3">
        <f t="shared" ca="1" si="9"/>
        <v>0</v>
      </c>
    </row>
    <row r="9" spans="1:11" x14ac:dyDescent="0.45">
      <c r="A9">
        <v>8</v>
      </c>
      <c r="B9" s="2">
        <f t="shared" ca="1" si="0"/>
        <v>0.37146912353692518</v>
      </c>
      <c r="C9" s="3">
        <f t="shared" ca="1" si="1"/>
        <v>4.3432221118323264</v>
      </c>
      <c r="D9" s="3">
        <f t="shared" ca="1" si="7"/>
        <v>36.642951467257014</v>
      </c>
      <c r="E9" s="3">
        <f t="shared" ca="1" si="2"/>
        <v>0.46476896173121807</v>
      </c>
      <c r="F9" s="3">
        <f t="shared" ca="1" si="3"/>
        <v>2.7347213441190141</v>
      </c>
      <c r="G9" s="3">
        <f t="shared" ca="1" si="8"/>
        <v>36.642951467257014</v>
      </c>
      <c r="H9" s="3">
        <f t="shared" ca="1" si="4"/>
        <v>39.37767281137603</v>
      </c>
      <c r="I9" s="3">
        <f t="shared" ca="1" si="5"/>
        <v>2.7347213441190164</v>
      </c>
      <c r="J9" s="3">
        <f t="shared" ca="1" si="6"/>
        <v>0</v>
      </c>
      <c r="K9" s="3">
        <f t="shared" ca="1" si="9"/>
        <v>4.2234592527820993</v>
      </c>
    </row>
    <row r="10" spans="1:11" x14ac:dyDescent="0.45">
      <c r="A10">
        <v>9</v>
      </c>
      <c r="B10" s="2">
        <f t="shared" ca="1" si="0"/>
        <v>0.59732725560935285</v>
      </c>
      <c r="C10" s="3">
        <f t="shared" ca="1" si="1"/>
        <v>6.375945300484176</v>
      </c>
      <c r="D10" s="3">
        <f t="shared" ca="1" si="7"/>
        <v>43.01889676774119</v>
      </c>
      <c r="E10" s="3">
        <f t="shared" ca="1" si="2"/>
        <v>0.85000123122843918</v>
      </c>
      <c r="F10" s="3">
        <f t="shared" ca="1" si="3"/>
        <v>6.1093160104560864</v>
      </c>
      <c r="G10" s="3">
        <f t="shared" ca="1" si="8"/>
        <v>43.01889676774119</v>
      </c>
      <c r="H10" s="3">
        <f t="shared" ca="1" si="4"/>
        <v>49.128212778197273</v>
      </c>
      <c r="I10" s="3">
        <f t="shared" ca="1" si="5"/>
        <v>6.1093160104560837</v>
      </c>
      <c r="J10" s="3">
        <f t="shared" ca="1" si="6"/>
        <v>0</v>
      </c>
      <c r="K10" s="3">
        <f t="shared" ca="1" si="9"/>
        <v>3.6412239563651596</v>
      </c>
    </row>
    <row r="11" spans="1:11" x14ac:dyDescent="0.45">
      <c r="A11">
        <v>10</v>
      </c>
      <c r="B11" s="2">
        <f t="shared" ca="1" si="0"/>
        <v>0.73115237777387343</v>
      </c>
      <c r="C11" s="3">
        <f t="shared" ca="1" si="1"/>
        <v>7.5803713999648608</v>
      </c>
      <c r="D11" s="3">
        <f t="shared" ca="1" si="7"/>
        <v>50.59926816770605</v>
      </c>
      <c r="E11" s="3">
        <f t="shared" ca="1" si="2"/>
        <v>0.75605908783891018</v>
      </c>
      <c r="F11" s="3">
        <f t="shared" ca="1" si="3"/>
        <v>5.0810451982367066</v>
      </c>
      <c r="G11" s="3">
        <f t="shared" ca="1" si="8"/>
        <v>50.59926816770605</v>
      </c>
      <c r="H11" s="3">
        <f t="shared" ca="1" si="4"/>
        <v>55.680313365942759</v>
      </c>
      <c r="I11" s="3">
        <f t="shared" ca="1" si="5"/>
        <v>5.0810451982367084</v>
      </c>
      <c r="J11" s="3">
        <f t="shared" ca="1" si="6"/>
        <v>0</v>
      </c>
      <c r="K11" s="3">
        <f t="shared" ca="1" si="9"/>
        <v>1.471055389508777</v>
      </c>
    </row>
    <row r="12" spans="1:11" x14ac:dyDescent="0.45">
      <c r="A12">
        <v>11</v>
      </c>
      <c r="B12" s="2">
        <f t="shared" ca="1" si="0"/>
        <v>0.74048140331349266</v>
      </c>
      <c r="C12" s="3">
        <f t="shared" ca="1" si="1"/>
        <v>7.664332629821434</v>
      </c>
      <c r="D12" s="3">
        <f t="shared" ca="1" si="7"/>
        <v>58.263600797527488</v>
      </c>
      <c r="E12" s="3">
        <f t="shared" ca="1" si="2"/>
        <v>0.2594025436309374</v>
      </c>
      <c r="F12" s="3">
        <f t="shared" ca="1" si="3"/>
        <v>1.0644347293851779</v>
      </c>
      <c r="G12" s="3">
        <f t="shared" ca="1" si="8"/>
        <v>58.263600797527488</v>
      </c>
      <c r="H12" s="3">
        <f t="shared" ca="1" si="4"/>
        <v>59.328035526912664</v>
      </c>
      <c r="I12" s="3">
        <f t="shared" ca="1" si="5"/>
        <v>1.0644347293851766</v>
      </c>
      <c r="J12" s="3">
        <f t="shared" ca="1" si="6"/>
        <v>0</v>
      </c>
      <c r="K12" s="3">
        <f t="shared" ca="1" si="9"/>
        <v>2.5832874315847292</v>
      </c>
    </row>
    <row r="13" spans="1:11" x14ac:dyDescent="0.45">
      <c r="A13">
        <v>12</v>
      </c>
      <c r="B13" s="2">
        <f t="shared" ca="1" si="0"/>
        <v>0.9535661204082172</v>
      </c>
      <c r="C13" s="3">
        <f t="shared" ca="1" si="1"/>
        <v>9.5820950836739556</v>
      </c>
      <c r="D13" s="3">
        <f t="shared" ca="1" si="7"/>
        <v>67.845695881201436</v>
      </c>
      <c r="E13" s="3">
        <f t="shared" ca="1" si="2"/>
        <v>0.52251049458042342</v>
      </c>
      <c r="F13" s="3">
        <f t="shared" ca="1" si="3"/>
        <v>3.1693662513293042</v>
      </c>
      <c r="G13" s="3">
        <f t="shared" ca="1" si="8"/>
        <v>67.845695881201436</v>
      </c>
      <c r="H13" s="3">
        <f t="shared" ca="1" si="4"/>
        <v>71.015062132530744</v>
      </c>
      <c r="I13" s="3">
        <f t="shared" ca="1" si="5"/>
        <v>3.1693662513293077</v>
      </c>
      <c r="J13" s="3">
        <f t="shared" ca="1" si="6"/>
        <v>0</v>
      </c>
      <c r="K13" s="3">
        <f t="shared" ca="1" si="9"/>
        <v>8.5176603542887719</v>
      </c>
    </row>
    <row r="14" spans="1:11" x14ac:dyDescent="0.45">
      <c r="A14">
        <v>13</v>
      </c>
      <c r="B14" s="2">
        <f t="shared" ca="1" si="0"/>
        <v>0.31031466311964506</v>
      </c>
      <c r="C14" s="3">
        <f t="shared" ca="1" si="1"/>
        <v>3.7928319680768054</v>
      </c>
      <c r="D14" s="3">
        <f t="shared" ca="1" si="7"/>
        <v>71.638527849278248</v>
      </c>
      <c r="E14" s="3">
        <f t="shared" ca="1" si="2"/>
        <v>0.92047400332794616</v>
      </c>
      <c r="F14" s="3">
        <f t="shared" ca="1" si="3"/>
        <v>7.2248013047264186</v>
      </c>
      <c r="G14" s="3">
        <f t="shared" ca="1" si="8"/>
        <v>71.638527849278248</v>
      </c>
      <c r="H14" s="3">
        <f t="shared" ca="1" si="4"/>
        <v>78.86332915400466</v>
      </c>
      <c r="I14" s="3">
        <f t="shared" ca="1" si="5"/>
        <v>7.2248013047264124</v>
      </c>
      <c r="J14" s="3">
        <f t="shared" ca="1" si="6"/>
        <v>0</v>
      </c>
      <c r="K14" s="3">
        <f t="shared" ca="1" si="9"/>
        <v>0.62346571674750351</v>
      </c>
    </row>
    <row r="15" spans="1:11" x14ac:dyDescent="0.45">
      <c r="A15">
        <v>14</v>
      </c>
      <c r="B15" s="2">
        <f t="shared" ca="1" si="0"/>
        <v>0.72385059362360238</v>
      </c>
      <c r="C15" s="3">
        <f t="shared" ca="1" si="1"/>
        <v>7.5146553426124214</v>
      </c>
      <c r="D15" s="3">
        <f t="shared" ca="1" si="7"/>
        <v>79.153183191890662</v>
      </c>
      <c r="E15" s="3">
        <f t="shared" ca="1" si="2"/>
        <v>0.54162429041482729</v>
      </c>
      <c r="F15" s="3">
        <f t="shared" ca="1" si="3"/>
        <v>3.3135799549205118</v>
      </c>
      <c r="G15" s="3">
        <f t="shared" ca="1" si="8"/>
        <v>79.153183191890662</v>
      </c>
      <c r="H15" s="3">
        <f t="shared" ca="1" si="4"/>
        <v>82.466763146811175</v>
      </c>
      <c r="I15" s="3">
        <f t="shared" ca="1" si="5"/>
        <v>3.3135799549205132</v>
      </c>
      <c r="J15" s="3">
        <f t="shared" ca="1" si="6"/>
        <v>0</v>
      </c>
      <c r="K15" s="3">
        <f t="shared" ca="1" si="9"/>
        <v>0.28985403788600195</v>
      </c>
    </row>
    <row r="16" spans="1:11" x14ac:dyDescent="0.45">
      <c r="A16">
        <v>15</v>
      </c>
      <c r="B16" s="2">
        <f t="shared" ca="1" si="0"/>
        <v>0.36105224757663479</v>
      </c>
      <c r="C16" s="3">
        <f t="shared" ca="1" si="1"/>
        <v>4.249470228189713</v>
      </c>
      <c r="D16" s="3">
        <f t="shared" ca="1" si="7"/>
        <v>83.40265342008037</v>
      </c>
      <c r="E16" s="3">
        <f t="shared" ca="1" si="2"/>
        <v>0.60226169590526357</v>
      </c>
      <c r="F16" s="3">
        <f t="shared" ca="1" si="3"/>
        <v>3.7776168092008997</v>
      </c>
      <c r="G16" s="3">
        <f t="shared" ca="1" si="8"/>
        <v>83.40265342008037</v>
      </c>
      <c r="H16" s="3">
        <f t="shared" ca="1" si="4"/>
        <v>87.180270229281263</v>
      </c>
      <c r="I16" s="3">
        <f t="shared" ca="1" si="5"/>
        <v>3.777616809200893</v>
      </c>
      <c r="J16" s="3">
        <f t="shared" ca="1" si="6"/>
        <v>0</v>
      </c>
      <c r="K16" s="3">
        <f t="shared" ca="1" si="9"/>
        <v>0.93589027326919449</v>
      </c>
    </row>
    <row r="17" spans="1:11" x14ac:dyDescent="0.45">
      <c r="A17">
        <v>16</v>
      </c>
      <c r="B17" s="2">
        <f t="shared" ca="1" si="0"/>
        <v>0.2327693188511889</v>
      </c>
      <c r="C17" s="3">
        <f t="shared" ca="1" si="1"/>
        <v>3.0949238696607</v>
      </c>
      <c r="D17" s="3">
        <f t="shared" ca="1" si="7"/>
        <v>86.497577289741074</v>
      </c>
      <c r="E17" s="3">
        <f t="shared" ca="1" si="2"/>
        <v>0.3242585280686805</v>
      </c>
      <c r="F17" s="3">
        <f t="shared" ca="1" si="3"/>
        <v>1.632530135064445</v>
      </c>
      <c r="G17" s="3">
        <f t="shared" ca="1" si="8"/>
        <v>87.180270229281263</v>
      </c>
      <c r="H17" s="3">
        <f t="shared" ca="1" si="4"/>
        <v>88.812800364345705</v>
      </c>
      <c r="I17" s="3">
        <f t="shared" ca="1" si="5"/>
        <v>2.3152230746046314</v>
      </c>
      <c r="J17" s="3">
        <f t="shared" ca="1" si="6"/>
        <v>0.68269293954018906</v>
      </c>
      <c r="K17" s="3">
        <f t="shared" ca="1" si="9"/>
        <v>0</v>
      </c>
    </row>
    <row r="18" spans="1:11" x14ac:dyDescent="0.45">
      <c r="A18">
        <v>17</v>
      </c>
      <c r="B18" s="2">
        <f t="shared" ca="1" si="0"/>
        <v>0.59595787338571182</v>
      </c>
      <c r="C18" s="3">
        <f t="shared" ca="1" si="1"/>
        <v>6.3636208604714062</v>
      </c>
      <c r="D18" s="3">
        <f t="shared" ca="1" si="7"/>
        <v>92.861198150212473</v>
      </c>
      <c r="E18" s="3">
        <f t="shared" ca="1" si="2"/>
        <v>0.32091459972683112</v>
      </c>
      <c r="F18" s="3">
        <f t="shared" ca="1" si="3"/>
        <v>1.6045716074397851</v>
      </c>
      <c r="G18" s="3">
        <f t="shared" ca="1" si="8"/>
        <v>92.861198150212473</v>
      </c>
      <c r="H18" s="3">
        <f t="shared" ca="1" si="4"/>
        <v>94.465769757652254</v>
      </c>
      <c r="I18" s="3">
        <f t="shared" ca="1" si="5"/>
        <v>1.6045716074397802</v>
      </c>
      <c r="J18" s="3">
        <f t="shared" ca="1" si="6"/>
        <v>0</v>
      </c>
      <c r="K18" s="3">
        <f t="shared" ca="1" si="9"/>
        <v>4.0483977858667686</v>
      </c>
    </row>
    <row r="19" spans="1:11" x14ac:dyDescent="0.45">
      <c r="A19">
        <v>18</v>
      </c>
      <c r="B19" s="2">
        <f t="shared" ca="1" si="0"/>
        <v>3.2408049048065379E-2</v>
      </c>
      <c r="C19" s="3">
        <f t="shared" ca="1" si="1"/>
        <v>1.2916724414325884</v>
      </c>
      <c r="D19" s="3">
        <f t="shared" ca="1" si="7"/>
        <v>94.152870591645069</v>
      </c>
      <c r="E19" s="3">
        <f t="shared" ca="1" si="2"/>
        <v>0.60113360751893985</v>
      </c>
      <c r="F19" s="3">
        <f t="shared" ca="1" si="3"/>
        <v>3.7688472052456254</v>
      </c>
      <c r="G19" s="3">
        <f t="shared" ca="1" si="8"/>
        <v>94.465769757652254</v>
      </c>
      <c r="H19" s="3">
        <f t="shared" ca="1" si="4"/>
        <v>98.234616962897874</v>
      </c>
      <c r="I19" s="3">
        <f t="shared" ca="1" si="5"/>
        <v>4.0817463712528053</v>
      </c>
      <c r="J19" s="3">
        <f t="shared" ca="1" si="6"/>
        <v>0.3128991660071847</v>
      </c>
      <c r="K19" s="3">
        <f t="shared" ca="1" si="9"/>
        <v>0</v>
      </c>
    </row>
    <row r="20" spans="1:11" x14ac:dyDescent="0.45">
      <c r="A20">
        <v>19</v>
      </c>
      <c r="B20" s="2">
        <f t="shared" ca="1" si="0"/>
        <v>0.26203892936003292</v>
      </c>
      <c r="C20" s="3">
        <f t="shared" ca="1" si="1"/>
        <v>3.3583503642402963</v>
      </c>
      <c r="D20" s="3">
        <f t="shared" ca="1" si="7"/>
        <v>97.511220955885364</v>
      </c>
      <c r="E20" s="3">
        <f t="shared" ca="1" si="2"/>
        <v>0.33799062509778788</v>
      </c>
      <c r="F20" s="3">
        <f t="shared" ca="1" si="3"/>
        <v>1.7461400528241247</v>
      </c>
      <c r="G20" s="3">
        <f t="shared" ca="1" si="8"/>
        <v>98.234616962897874</v>
      </c>
      <c r="H20" s="3">
        <f t="shared" ca="1" si="4"/>
        <v>99.980757015722006</v>
      </c>
      <c r="I20" s="3">
        <f t="shared" ca="1" si="5"/>
        <v>2.469536059836642</v>
      </c>
      <c r="J20" s="3">
        <f t="shared" ca="1" si="6"/>
        <v>0.72339600701251072</v>
      </c>
      <c r="K20" s="3">
        <f t="shared" ca="1" si="9"/>
        <v>0</v>
      </c>
    </row>
    <row r="21" spans="1:11" x14ac:dyDescent="0.45">
      <c r="A21">
        <v>20</v>
      </c>
      <c r="B21" s="2">
        <f t="shared" ca="1" si="0"/>
        <v>0.30563812153745828</v>
      </c>
      <c r="C21" s="3">
        <f t="shared" ca="1" si="1"/>
        <v>3.7507430938371247</v>
      </c>
      <c r="D21" s="3">
        <f t="shared" ca="1" si="7"/>
        <v>101.26196404972249</v>
      </c>
      <c r="E21" s="3">
        <f t="shared" ca="1" si="2"/>
        <v>0.42327513871570155</v>
      </c>
      <c r="F21" s="3">
        <f t="shared" ca="1" si="3"/>
        <v>2.4194343801755824</v>
      </c>
      <c r="G21" s="3">
        <f t="shared" ca="1" si="8"/>
        <v>101.26196404972249</v>
      </c>
      <c r="H21" s="3">
        <f t="shared" ca="1" si="4"/>
        <v>103.68139842989808</v>
      </c>
      <c r="I21" s="3">
        <f t="shared" ca="1" si="5"/>
        <v>2.4194343801755878</v>
      </c>
      <c r="J21" s="3">
        <f t="shared" ca="1" si="6"/>
        <v>0</v>
      </c>
      <c r="K21" s="3">
        <f t="shared" ca="1" si="9"/>
        <v>1.281207034000488</v>
      </c>
    </row>
    <row r="22" spans="1:11" x14ac:dyDescent="0.45">
      <c r="A22">
        <v>21</v>
      </c>
      <c r="B22" s="2">
        <f t="shared" ca="1" si="0"/>
        <v>0.63755198765694854</v>
      </c>
      <c r="C22" s="3">
        <f t="shared" ca="1" si="1"/>
        <v>6.7379678889125367</v>
      </c>
      <c r="D22" s="3">
        <f t="shared" ca="1" si="7"/>
        <v>107.99993193863503</v>
      </c>
      <c r="E22" s="3">
        <f t="shared" ca="1" si="2"/>
        <v>0.24530605548906415</v>
      </c>
      <c r="F22" s="3">
        <f t="shared" ca="1" si="3"/>
        <v>0.93199325287423918</v>
      </c>
      <c r="G22" s="3">
        <f t="shared" ca="1" si="8"/>
        <v>107.99993193863503</v>
      </c>
      <c r="H22" s="3">
        <f t="shared" ca="1" si="4"/>
        <v>108.93192519150927</v>
      </c>
      <c r="I22" s="3">
        <f t="shared" ca="1" si="5"/>
        <v>0.93199325287423562</v>
      </c>
      <c r="J22" s="3">
        <f t="shared" ca="1" si="6"/>
        <v>0</v>
      </c>
      <c r="K22" s="3">
        <f t="shared" ca="1" si="9"/>
        <v>4.3185335087369481</v>
      </c>
    </row>
    <row r="23" spans="1:11" x14ac:dyDescent="0.45">
      <c r="A23">
        <v>22</v>
      </c>
      <c r="B23" s="2">
        <f t="shared" ca="1" si="0"/>
        <v>0.23846620017999753</v>
      </c>
      <c r="C23" s="3">
        <f t="shared" ca="1" si="1"/>
        <v>3.146195801619978</v>
      </c>
      <c r="D23" s="3">
        <f t="shared" ca="1" si="7"/>
        <v>111.14612774025501</v>
      </c>
      <c r="E23" s="3">
        <f t="shared" ca="1" si="2"/>
        <v>0.43788401605108063</v>
      </c>
      <c r="F23" s="3">
        <f t="shared" ca="1" si="3"/>
        <v>2.5309914321350955</v>
      </c>
      <c r="G23" s="3">
        <f t="shared" ca="1" si="8"/>
        <v>111.14612774025501</v>
      </c>
      <c r="H23" s="3">
        <f t="shared" ca="1" si="4"/>
        <v>113.67711917239011</v>
      </c>
      <c r="I23" s="3">
        <f t="shared" ca="1" si="5"/>
        <v>2.5309914321350959</v>
      </c>
      <c r="J23" s="3">
        <f t="shared" ca="1" si="6"/>
        <v>0</v>
      </c>
      <c r="K23" s="3">
        <f t="shared" ca="1" si="9"/>
        <v>2.214202548745746</v>
      </c>
    </row>
    <row r="24" spans="1:11" x14ac:dyDescent="0.45">
      <c r="A24">
        <v>23</v>
      </c>
      <c r="B24" s="2">
        <f t="shared" ca="1" si="0"/>
        <v>0.59229937707300517</v>
      </c>
      <c r="C24" s="3">
        <f t="shared" ca="1" si="1"/>
        <v>6.3306943936570468</v>
      </c>
      <c r="D24" s="3">
        <f t="shared" ca="1" si="7"/>
        <v>117.47682213391205</v>
      </c>
      <c r="E24" s="3">
        <f t="shared" ca="1" si="2"/>
        <v>0.69860932383392493</v>
      </c>
      <c r="F24" s="3">
        <f t="shared" ca="1" si="3"/>
        <v>4.5612148861545565</v>
      </c>
      <c r="G24" s="3">
        <f t="shared" ca="1" si="8"/>
        <v>117.47682213391205</v>
      </c>
      <c r="H24" s="3">
        <f t="shared" ca="1" si="4"/>
        <v>122.03803702006661</v>
      </c>
      <c r="I24" s="3">
        <f t="shared" ca="1" si="5"/>
        <v>4.5612148861545592</v>
      </c>
      <c r="J24" s="3">
        <f t="shared" ca="1" si="6"/>
        <v>0</v>
      </c>
      <c r="K24" s="3">
        <f t="shared" ca="1" si="9"/>
        <v>3.7997029615219446</v>
      </c>
    </row>
    <row r="25" spans="1:11" x14ac:dyDescent="0.45">
      <c r="A25">
        <v>24</v>
      </c>
      <c r="B25" s="2">
        <f t="shared" ca="1" si="0"/>
        <v>0.75774199977866119</v>
      </c>
      <c r="C25" s="3">
        <f t="shared" ca="1" si="1"/>
        <v>7.8196779980079505</v>
      </c>
      <c r="D25" s="3">
        <f t="shared" ca="1" si="7"/>
        <v>125.29650013192</v>
      </c>
      <c r="E25" s="3">
        <f t="shared" ca="1" si="2"/>
        <v>0.16166636365299192</v>
      </c>
      <c r="F25" s="3">
        <f t="shared" ca="1" si="3"/>
        <v>0.1</v>
      </c>
      <c r="G25" s="3">
        <f t="shared" ca="1" si="8"/>
        <v>125.29650013192</v>
      </c>
      <c r="H25" s="3">
        <f t="shared" ca="1" si="4"/>
        <v>125.39650013191999</v>
      </c>
      <c r="I25" s="3">
        <f t="shared" ca="1" si="5"/>
        <v>9.9999999999994316E-2</v>
      </c>
      <c r="J25" s="3">
        <f t="shared" ca="1" si="6"/>
        <v>0</v>
      </c>
      <c r="K25" s="3">
        <f t="shared" ca="1" si="9"/>
        <v>3.2584631118533878</v>
      </c>
    </row>
    <row r="26" spans="1:11" x14ac:dyDescent="0.45">
      <c r="A26">
        <v>25</v>
      </c>
      <c r="B26" s="2">
        <f t="shared" ca="1" si="0"/>
        <v>0.89797763623849314</v>
      </c>
      <c r="C26" s="3">
        <f t="shared" ca="1" si="1"/>
        <v>9.0817987261464381</v>
      </c>
      <c r="D26" s="3">
        <f t="shared" ca="1" si="7"/>
        <v>134.37829885806644</v>
      </c>
      <c r="E26" s="3">
        <f t="shared" ca="1" si="2"/>
        <v>0.52313858458413076</v>
      </c>
      <c r="F26" s="3">
        <f t="shared" ca="1" si="3"/>
        <v>3.1740971612324689</v>
      </c>
      <c r="G26" s="3">
        <f t="shared" ca="1" si="8"/>
        <v>134.37829885806644</v>
      </c>
      <c r="H26" s="3">
        <f t="shared" ca="1" si="4"/>
        <v>137.55239601929893</v>
      </c>
      <c r="I26" s="3">
        <f t="shared" ca="1" si="5"/>
        <v>3.1740971612324813</v>
      </c>
      <c r="J26" s="3">
        <f t="shared" ca="1" si="6"/>
        <v>0</v>
      </c>
      <c r="K26" s="3">
        <f t="shared" ca="1" si="9"/>
        <v>8.9817987261464509</v>
      </c>
    </row>
    <row r="27" spans="1:11" x14ac:dyDescent="0.45">
      <c r="A27">
        <v>26</v>
      </c>
      <c r="B27" s="2">
        <f t="shared" ca="1" si="0"/>
        <v>0.89389324883944066</v>
      </c>
      <c r="C27" s="3">
        <f t="shared" ca="1" si="1"/>
        <v>9.0450392395549652</v>
      </c>
      <c r="D27" s="3">
        <f t="shared" ca="1" si="7"/>
        <v>143.42333809762141</v>
      </c>
      <c r="E27" s="3">
        <f t="shared" ca="1" si="2"/>
        <v>0.70309551226989575</v>
      </c>
      <c r="F27" s="3">
        <f t="shared" ca="1" si="3"/>
        <v>4.5999734799772352</v>
      </c>
      <c r="G27" s="3">
        <f t="shared" ca="1" si="8"/>
        <v>143.42333809762141</v>
      </c>
      <c r="H27" s="3">
        <f t="shared" ca="1" si="4"/>
        <v>148.02331157759863</v>
      </c>
      <c r="I27" s="3">
        <f t="shared" ca="1" si="5"/>
        <v>4.5999734799772227</v>
      </c>
      <c r="J27" s="3">
        <f t="shared" ca="1" si="6"/>
        <v>0</v>
      </c>
      <c r="K27" s="3">
        <f t="shared" ca="1" si="9"/>
        <v>5.8709420783224857</v>
      </c>
    </row>
    <row r="28" spans="1:11" x14ac:dyDescent="0.45">
      <c r="A28">
        <v>27</v>
      </c>
      <c r="B28" s="2">
        <f t="shared" ca="1" si="0"/>
        <v>7.5566128310023961E-2</v>
      </c>
      <c r="C28" s="3">
        <f t="shared" ca="1" si="1"/>
        <v>1.6800951547902157</v>
      </c>
      <c r="D28" s="3">
        <f t="shared" ca="1" si="7"/>
        <v>145.10343325241163</v>
      </c>
      <c r="E28" s="3">
        <f t="shared" ca="1" si="2"/>
        <v>0.55311529371063473</v>
      </c>
      <c r="F28" s="3">
        <f t="shared" ca="1" si="3"/>
        <v>3.4006083138878913</v>
      </c>
      <c r="G28" s="3">
        <f t="shared" ca="1" si="8"/>
        <v>148.02331157759863</v>
      </c>
      <c r="H28" s="3">
        <f t="shared" ca="1" si="4"/>
        <v>151.42391989148652</v>
      </c>
      <c r="I28" s="3">
        <f t="shared" ca="1" si="5"/>
        <v>6.3204866390748862</v>
      </c>
      <c r="J28" s="3">
        <f t="shared" ca="1" si="6"/>
        <v>2.9198783251869997</v>
      </c>
      <c r="K28" s="3">
        <f t="shared" ca="1" si="9"/>
        <v>0</v>
      </c>
    </row>
    <row r="29" spans="1:11" x14ac:dyDescent="0.45">
      <c r="A29">
        <v>28</v>
      </c>
      <c r="B29" s="2">
        <f t="shared" ca="1" si="0"/>
        <v>0.93671142802287677</v>
      </c>
      <c r="C29" s="3">
        <f t="shared" ca="1" si="1"/>
        <v>9.4304028522058907</v>
      </c>
      <c r="D29" s="3">
        <f t="shared" ca="1" si="7"/>
        <v>154.53383610461754</v>
      </c>
      <c r="E29" s="3">
        <f t="shared" ca="1" si="2"/>
        <v>0.85989400885278944</v>
      </c>
      <c r="F29" s="3">
        <f t="shared" ca="1" si="3"/>
        <v>6.2395297881474647</v>
      </c>
      <c r="G29" s="3">
        <f t="shared" ca="1" si="8"/>
        <v>154.53383610461754</v>
      </c>
      <c r="H29" s="3">
        <f t="shared" ca="1" si="4"/>
        <v>160.77336589276501</v>
      </c>
      <c r="I29" s="3">
        <f t="shared" ca="1" si="5"/>
        <v>6.2395297881474789</v>
      </c>
      <c r="J29" s="3">
        <f t="shared" ca="1" si="6"/>
        <v>0</v>
      </c>
      <c r="K29" s="3">
        <f t="shared" ca="1" si="9"/>
        <v>3.1099162131310152</v>
      </c>
    </row>
    <row r="30" spans="1:11" x14ac:dyDescent="0.45">
      <c r="A30">
        <v>29</v>
      </c>
      <c r="B30" s="2">
        <f t="shared" ca="1" si="0"/>
        <v>0.93544697566505297</v>
      </c>
      <c r="C30" s="3">
        <f t="shared" ca="1" si="1"/>
        <v>9.4190227809854772</v>
      </c>
      <c r="D30" s="3">
        <f t="shared" ca="1" si="7"/>
        <v>163.95285888560301</v>
      </c>
      <c r="E30" s="3">
        <f t="shared" ca="1" si="2"/>
        <v>0.33489218766679996</v>
      </c>
      <c r="F30" s="3">
        <f t="shared" ca="1" si="3"/>
        <v>1.7206681227401668</v>
      </c>
      <c r="G30" s="3">
        <f t="shared" ca="1" si="8"/>
        <v>163.95285888560301</v>
      </c>
      <c r="H30" s="3">
        <f t="shared" ca="1" si="4"/>
        <v>165.67352700834317</v>
      </c>
      <c r="I30" s="3">
        <f t="shared" ca="1" si="5"/>
        <v>1.7206681227401646</v>
      </c>
      <c r="J30" s="3">
        <f t="shared" ca="1" si="6"/>
        <v>0</v>
      </c>
      <c r="K30" s="3">
        <f t="shared" ca="1" si="9"/>
        <v>3.1794929928379929</v>
      </c>
    </row>
    <row r="31" spans="1:11" x14ac:dyDescent="0.45">
      <c r="A31">
        <v>30</v>
      </c>
      <c r="B31" s="2">
        <f t="shared" ca="1" si="0"/>
        <v>0.51900387156614469</v>
      </c>
      <c r="C31" s="3">
        <f t="shared" ca="1" si="1"/>
        <v>5.6710348440953027</v>
      </c>
      <c r="D31" s="3">
        <f t="shared" ca="1" si="7"/>
        <v>169.6238937296983</v>
      </c>
      <c r="E31" s="3">
        <f t="shared" ca="1" si="2"/>
        <v>7.2868193125449676E-2</v>
      </c>
      <c r="F31" s="3">
        <f t="shared" ca="1" si="3"/>
        <v>0.1</v>
      </c>
      <c r="G31" s="3">
        <f t="shared" ca="1" si="8"/>
        <v>169.6238937296983</v>
      </c>
      <c r="H31" s="3">
        <f t="shared" ca="1" si="4"/>
        <v>169.72389372969829</v>
      </c>
      <c r="I31" s="3">
        <f t="shared" ca="1" si="5"/>
        <v>9.9999999999994316E-2</v>
      </c>
      <c r="J31" s="3">
        <f t="shared" ca="1" si="6"/>
        <v>0</v>
      </c>
      <c r="K31" s="3">
        <f t="shared" ca="1" si="9"/>
        <v>3.9503667213551239</v>
      </c>
    </row>
    <row r="32" spans="1:11" x14ac:dyDescent="0.45">
      <c r="A32">
        <v>31</v>
      </c>
      <c r="B32" s="2">
        <f t="shared" ca="1" si="0"/>
        <v>4.5294823814452712E-2</v>
      </c>
      <c r="C32" s="3">
        <f t="shared" ca="1" si="1"/>
        <v>1.4076534143300745</v>
      </c>
      <c r="D32" s="3">
        <f t="shared" ca="1" si="7"/>
        <v>171.03154714402837</v>
      </c>
      <c r="E32" s="3">
        <f t="shared" ca="1" si="2"/>
        <v>0.59733737277665078</v>
      </c>
      <c r="F32" s="3">
        <f t="shared" ca="1" si="3"/>
        <v>3.7393835289304214</v>
      </c>
      <c r="G32" s="3">
        <f t="shared" ca="1" si="8"/>
        <v>171.03154714402837</v>
      </c>
      <c r="H32" s="3">
        <f t="shared" ca="1" si="4"/>
        <v>174.7709306729588</v>
      </c>
      <c r="I32" s="3">
        <f t="shared" ca="1" si="5"/>
        <v>3.739383528930432</v>
      </c>
      <c r="J32" s="3">
        <f t="shared" ca="1" si="6"/>
        <v>0</v>
      </c>
      <c r="K32" s="3">
        <f t="shared" ca="1" si="9"/>
        <v>1.3076534143300762</v>
      </c>
    </row>
    <row r="33" spans="1:11" x14ac:dyDescent="0.45">
      <c r="A33">
        <v>32</v>
      </c>
      <c r="B33" s="2">
        <f t="shared" ca="1" si="0"/>
        <v>5.2194458296089707E-2</v>
      </c>
      <c r="C33" s="3">
        <f t="shared" ca="1" si="1"/>
        <v>1.4697501246648073</v>
      </c>
      <c r="D33" s="3">
        <f t="shared" ca="1" si="7"/>
        <v>172.50129726869318</v>
      </c>
      <c r="E33" s="3">
        <f t="shared" ca="1" si="2"/>
        <v>0.19826161837872591</v>
      </c>
      <c r="F33" s="3">
        <f t="shared" ca="1" si="3"/>
        <v>0.45645928310743766</v>
      </c>
      <c r="G33" s="3">
        <f t="shared" ca="1" si="8"/>
        <v>174.7709306729588</v>
      </c>
      <c r="H33" s="3">
        <f t="shared" ca="1" si="4"/>
        <v>175.22738995606625</v>
      </c>
      <c r="I33" s="3">
        <f t="shared" ca="1" si="5"/>
        <v>2.7260926873730682</v>
      </c>
      <c r="J33" s="3">
        <f t="shared" ca="1" si="6"/>
        <v>2.269633404265619</v>
      </c>
      <c r="K33" s="3">
        <f t="shared" ca="1" si="9"/>
        <v>0</v>
      </c>
    </row>
    <row r="34" spans="1:11" x14ac:dyDescent="0.45">
      <c r="A34">
        <v>33</v>
      </c>
      <c r="B34" s="2">
        <f t="shared" ref="B34:B51" ca="1" si="10">RAND()</f>
        <v>0.27669192928924213</v>
      </c>
      <c r="C34" s="3">
        <f t="shared" ref="C34:C65" ca="1" si="11">1 + (10-1)*B34</f>
        <v>3.4902273636031791</v>
      </c>
      <c r="D34" s="3">
        <f t="shared" ca="1" si="7"/>
        <v>175.99152463229635</v>
      </c>
      <c r="E34" s="3">
        <f t="shared" ref="E34:E51" ca="1" si="12">RAND()</f>
        <v>6.1021669806386902E-2</v>
      </c>
      <c r="F34" s="3">
        <f t="shared" ref="F34:F65" ca="1" si="13">MAX(0.1, NORMINV(E34, 3, 3))</f>
        <v>0.1</v>
      </c>
      <c r="G34" s="3">
        <f t="shared" ca="1" si="8"/>
        <v>175.99152463229635</v>
      </c>
      <c r="H34" s="3">
        <f t="shared" ref="H34:H65" ca="1" si="14">G34+F34</f>
        <v>176.09152463229634</v>
      </c>
      <c r="I34" s="3">
        <f t="shared" ref="I34:I65" ca="1" si="15">H34-D34</f>
        <v>9.9999999999994316E-2</v>
      </c>
      <c r="J34" s="3">
        <f t="shared" ref="J34:J51" ca="1" si="16">G34-D34</f>
        <v>0</v>
      </c>
      <c r="K34" s="3">
        <f t="shared" ca="1" si="9"/>
        <v>0.76413467623009979</v>
      </c>
    </row>
    <row r="35" spans="1:11" x14ac:dyDescent="0.45">
      <c r="A35">
        <v>34</v>
      </c>
      <c r="B35" s="2">
        <f t="shared" ca="1" si="10"/>
        <v>5.9136232706858971E-2</v>
      </c>
      <c r="C35" s="3">
        <f t="shared" ca="1" si="11"/>
        <v>1.5322260943617307</v>
      </c>
      <c r="D35" s="3">
        <f t="shared" ref="D35:D66" ca="1" si="17">D34+C35</f>
        <v>177.52375072665808</v>
      </c>
      <c r="E35" s="3">
        <f t="shared" ca="1" si="12"/>
        <v>0.50174157182359136</v>
      </c>
      <c r="F35" s="3">
        <f t="shared" ca="1" si="13"/>
        <v>3.0130964611234101</v>
      </c>
      <c r="G35" s="3">
        <f t="shared" ref="G35:G51" ca="1" si="18">MAX(D35, H34)</f>
        <v>177.52375072665808</v>
      </c>
      <c r="H35" s="3">
        <f t="shared" ca="1" si="14"/>
        <v>180.53684718778149</v>
      </c>
      <c r="I35" s="3">
        <f t="shared" ca="1" si="15"/>
        <v>3.0130964611234106</v>
      </c>
      <c r="J35" s="3">
        <f t="shared" ca="1" si="16"/>
        <v>0</v>
      </c>
      <c r="K35" s="3">
        <f t="shared" ref="K35:K51" ca="1" si="19">MAX(0, G35-H34)</f>
        <v>1.432226094361738</v>
      </c>
    </row>
    <row r="36" spans="1:11" x14ac:dyDescent="0.45">
      <c r="A36">
        <v>35</v>
      </c>
      <c r="B36" s="2">
        <f t="shared" ca="1" si="10"/>
        <v>0.53587840613827142</v>
      </c>
      <c r="C36" s="3">
        <f t="shared" ca="1" si="11"/>
        <v>5.8229056552444431</v>
      </c>
      <c r="D36" s="3">
        <f t="shared" ca="1" si="17"/>
        <v>183.34665638190253</v>
      </c>
      <c r="E36" s="3">
        <f t="shared" ca="1" si="12"/>
        <v>0.99324802705908211</v>
      </c>
      <c r="F36" s="3">
        <f t="shared" ca="1" si="13"/>
        <v>10.410584679339459</v>
      </c>
      <c r="G36" s="3">
        <f t="shared" ca="1" si="18"/>
        <v>183.34665638190253</v>
      </c>
      <c r="H36" s="3">
        <f t="shared" ca="1" si="14"/>
        <v>193.75724106124198</v>
      </c>
      <c r="I36" s="3">
        <f t="shared" ca="1" si="15"/>
        <v>10.410584679339451</v>
      </c>
      <c r="J36" s="3">
        <f t="shared" ca="1" si="16"/>
        <v>0</v>
      </c>
      <c r="K36" s="3">
        <f t="shared" ca="1" si="19"/>
        <v>2.8098091941210441</v>
      </c>
    </row>
    <row r="37" spans="1:11" x14ac:dyDescent="0.45">
      <c r="A37">
        <v>36</v>
      </c>
      <c r="B37" s="2">
        <f t="shared" ca="1" si="10"/>
        <v>0.97915621874814407</v>
      </c>
      <c r="C37" s="3">
        <f t="shared" ca="1" si="11"/>
        <v>9.8124059687332963</v>
      </c>
      <c r="D37" s="3">
        <f t="shared" ca="1" si="17"/>
        <v>193.15906235063582</v>
      </c>
      <c r="E37" s="3">
        <f t="shared" ca="1" si="12"/>
        <v>0.15895424760012122</v>
      </c>
      <c r="F37" s="3">
        <f t="shared" ca="1" si="13"/>
        <v>0.1</v>
      </c>
      <c r="G37" s="3">
        <f t="shared" ca="1" si="18"/>
        <v>193.75724106124198</v>
      </c>
      <c r="H37" s="3">
        <f t="shared" ca="1" si="14"/>
        <v>193.85724106124198</v>
      </c>
      <c r="I37" s="3">
        <f t="shared" ca="1" si="15"/>
        <v>0.69817871060615744</v>
      </c>
      <c r="J37" s="3">
        <f t="shared" ca="1" si="16"/>
        <v>0.59817871060616312</v>
      </c>
      <c r="K37" s="3">
        <f t="shared" ca="1" si="19"/>
        <v>0</v>
      </c>
    </row>
    <row r="38" spans="1:11" x14ac:dyDescent="0.45">
      <c r="A38">
        <v>37</v>
      </c>
      <c r="B38" s="2">
        <f t="shared" ca="1" si="10"/>
        <v>0.15240537075107796</v>
      </c>
      <c r="C38" s="3">
        <f t="shared" ca="1" si="11"/>
        <v>2.3716483367597014</v>
      </c>
      <c r="D38" s="3">
        <f t="shared" ca="1" si="17"/>
        <v>195.53071068739553</v>
      </c>
      <c r="E38" s="3">
        <f t="shared" ca="1" si="12"/>
        <v>0.74737989854591769</v>
      </c>
      <c r="F38" s="3">
        <f t="shared" ca="1" si="13"/>
        <v>4.998802181279963</v>
      </c>
      <c r="G38" s="3">
        <f t="shared" ca="1" si="18"/>
        <v>195.53071068739553</v>
      </c>
      <c r="H38" s="3">
        <f t="shared" ca="1" si="14"/>
        <v>200.52951286867548</v>
      </c>
      <c r="I38" s="3">
        <f t="shared" ca="1" si="15"/>
        <v>4.9988021812799559</v>
      </c>
      <c r="J38" s="3">
        <f t="shared" ca="1" si="16"/>
        <v>0</v>
      </c>
      <c r="K38" s="3">
        <f t="shared" ca="1" si="19"/>
        <v>1.6734696261535476</v>
      </c>
    </row>
    <row r="39" spans="1:11" x14ac:dyDescent="0.45">
      <c r="A39">
        <v>38</v>
      </c>
      <c r="B39" s="2">
        <f t="shared" ca="1" si="10"/>
        <v>0.16685756910265193</v>
      </c>
      <c r="C39" s="3">
        <f t="shared" ca="1" si="11"/>
        <v>2.5017181219238673</v>
      </c>
      <c r="D39" s="3">
        <f t="shared" ca="1" si="17"/>
        <v>198.03242880931938</v>
      </c>
      <c r="E39" s="3">
        <f t="shared" ca="1" si="12"/>
        <v>0.46529280102944981</v>
      </c>
      <c r="F39" s="3">
        <f t="shared" ca="1" si="13"/>
        <v>2.7386757568622202</v>
      </c>
      <c r="G39" s="3">
        <f t="shared" ca="1" si="18"/>
        <v>200.52951286867548</v>
      </c>
      <c r="H39" s="3">
        <f t="shared" ca="1" si="14"/>
        <v>203.2681886255377</v>
      </c>
      <c r="I39" s="3">
        <f t="shared" ca="1" si="15"/>
        <v>5.2357598162183194</v>
      </c>
      <c r="J39" s="3">
        <f t="shared" ca="1" si="16"/>
        <v>2.4970840593560979</v>
      </c>
      <c r="K39" s="3">
        <f t="shared" ca="1" si="19"/>
        <v>0</v>
      </c>
    </row>
    <row r="40" spans="1:11" x14ac:dyDescent="0.45">
      <c r="A40">
        <v>39</v>
      </c>
      <c r="B40" s="2">
        <f t="shared" ca="1" si="10"/>
        <v>0.93543984356784793</v>
      </c>
      <c r="C40" s="3">
        <f t="shared" ca="1" si="11"/>
        <v>9.4189585921106307</v>
      </c>
      <c r="D40" s="3">
        <f t="shared" ca="1" si="17"/>
        <v>207.45138740143003</v>
      </c>
      <c r="E40" s="3">
        <f t="shared" ca="1" si="12"/>
        <v>0.52890385491530012</v>
      </c>
      <c r="F40" s="3">
        <f t="shared" ca="1" si="13"/>
        <v>3.2175441647996168</v>
      </c>
      <c r="G40" s="3">
        <f t="shared" ca="1" si="18"/>
        <v>207.45138740143003</v>
      </c>
      <c r="H40" s="3">
        <f t="shared" ca="1" si="14"/>
        <v>210.66893156622965</v>
      </c>
      <c r="I40" s="3">
        <f t="shared" ca="1" si="15"/>
        <v>3.2175441647996195</v>
      </c>
      <c r="J40" s="3">
        <f t="shared" ca="1" si="16"/>
        <v>0</v>
      </c>
      <c r="K40" s="3">
        <f t="shared" ca="1" si="19"/>
        <v>4.1831987758923219</v>
      </c>
    </row>
    <row r="41" spans="1:11" x14ac:dyDescent="0.45">
      <c r="A41">
        <v>40</v>
      </c>
      <c r="B41" s="2">
        <f t="shared" ca="1" si="10"/>
        <v>0.54289136389975157</v>
      </c>
      <c r="C41" s="3">
        <f t="shared" ca="1" si="11"/>
        <v>5.8860222750977638</v>
      </c>
      <c r="D41" s="3">
        <f t="shared" ca="1" si="17"/>
        <v>213.33740967652778</v>
      </c>
      <c r="E41" s="3">
        <f t="shared" ca="1" si="12"/>
        <v>0.45221025959678951</v>
      </c>
      <c r="F41" s="3">
        <f t="shared" ca="1" si="13"/>
        <v>2.6397628167456588</v>
      </c>
      <c r="G41" s="3">
        <f t="shared" ca="1" si="18"/>
        <v>213.33740967652778</v>
      </c>
      <c r="H41" s="3">
        <f t="shared" ca="1" si="14"/>
        <v>215.97717249327343</v>
      </c>
      <c r="I41" s="3">
        <f t="shared" ca="1" si="15"/>
        <v>2.6397628167456446</v>
      </c>
      <c r="J41" s="3">
        <f t="shared" ca="1" si="16"/>
        <v>0</v>
      </c>
      <c r="K41" s="3">
        <f t="shared" ca="1" si="19"/>
        <v>2.668478110298139</v>
      </c>
    </row>
    <row r="42" spans="1:11" x14ac:dyDescent="0.45">
      <c r="A42">
        <v>41</v>
      </c>
      <c r="B42" s="2">
        <f t="shared" ca="1" si="10"/>
        <v>0.46650793942365398</v>
      </c>
      <c r="C42" s="3">
        <f t="shared" ca="1" si="11"/>
        <v>5.1985714548128854</v>
      </c>
      <c r="D42" s="3">
        <f t="shared" ca="1" si="17"/>
        <v>218.53598113134066</v>
      </c>
      <c r="E42" s="3">
        <f t="shared" ca="1" si="12"/>
        <v>0.82640077952069202</v>
      </c>
      <c r="F42" s="3">
        <f t="shared" ca="1" si="13"/>
        <v>5.8201118256936777</v>
      </c>
      <c r="G42" s="3">
        <f t="shared" ca="1" si="18"/>
        <v>218.53598113134066</v>
      </c>
      <c r="H42" s="3">
        <f t="shared" ca="1" si="14"/>
        <v>224.35609295703435</v>
      </c>
      <c r="I42" s="3">
        <f t="shared" ca="1" si="15"/>
        <v>5.8201118256936866</v>
      </c>
      <c r="J42" s="3">
        <f t="shared" ca="1" si="16"/>
        <v>0</v>
      </c>
      <c r="K42" s="3">
        <f t="shared" ca="1" si="19"/>
        <v>2.5588086380672337</v>
      </c>
    </row>
    <row r="43" spans="1:11" x14ac:dyDescent="0.45">
      <c r="A43">
        <v>42</v>
      </c>
      <c r="B43" s="2">
        <f t="shared" ca="1" si="10"/>
        <v>0.41895014015945142</v>
      </c>
      <c r="C43" s="3">
        <f t="shared" ca="1" si="11"/>
        <v>4.7705512614350631</v>
      </c>
      <c r="D43" s="3">
        <f t="shared" ca="1" si="17"/>
        <v>223.30653239277572</v>
      </c>
      <c r="E43" s="3">
        <f t="shared" ca="1" si="12"/>
        <v>0.77475108764747491</v>
      </c>
      <c r="F43" s="3">
        <f t="shared" ca="1" si="13"/>
        <v>5.2637560093749673</v>
      </c>
      <c r="G43" s="3">
        <f t="shared" ca="1" si="18"/>
        <v>224.35609295703435</v>
      </c>
      <c r="H43" s="3">
        <f t="shared" ca="1" si="14"/>
        <v>229.61984896640931</v>
      </c>
      <c r="I43" s="3">
        <f t="shared" ca="1" si="15"/>
        <v>6.3133165736335854</v>
      </c>
      <c r="J43" s="3">
        <f t="shared" ca="1" si="16"/>
        <v>1.049560564258627</v>
      </c>
      <c r="K43" s="3">
        <f t="shared" ca="1" si="19"/>
        <v>0</v>
      </c>
    </row>
    <row r="44" spans="1:11" x14ac:dyDescent="0.45">
      <c r="A44">
        <v>43</v>
      </c>
      <c r="B44" s="2">
        <f t="shared" ca="1" si="10"/>
        <v>0.11174303245244099</v>
      </c>
      <c r="C44" s="3">
        <f t="shared" ca="1" si="11"/>
        <v>2.0056872920719688</v>
      </c>
      <c r="D44" s="3">
        <f t="shared" ca="1" si="17"/>
        <v>225.31221968484769</v>
      </c>
      <c r="E44" s="3">
        <f t="shared" ca="1" si="12"/>
        <v>0.28047396467695518</v>
      </c>
      <c r="F44" s="3">
        <f t="shared" ca="1" si="13"/>
        <v>1.2556977384943215</v>
      </c>
      <c r="G44" s="3">
        <f t="shared" ca="1" si="18"/>
        <v>229.61984896640931</v>
      </c>
      <c r="H44" s="3">
        <f t="shared" ca="1" si="14"/>
        <v>230.87554670490363</v>
      </c>
      <c r="I44" s="3">
        <f t="shared" ca="1" si="15"/>
        <v>5.5633270200559366</v>
      </c>
      <c r="J44" s="3">
        <f t="shared" ca="1" si="16"/>
        <v>4.3076292815616171</v>
      </c>
      <c r="K44" s="3">
        <f t="shared" ca="1" si="19"/>
        <v>0</v>
      </c>
    </row>
    <row r="45" spans="1:11" x14ac:dyDescent="0.45">
      <c r="A45">
        <v>44</v>
      </c>
      <c r="B45" s="2">
        <f t="shared" ca="1" si="10"/>
        <v>4.4252551360050685E-2</v>
      </c>
      <c r="C45" s="3">
        <f t="shared" ca="1" si="11"/>
        <v>1.3982729622404562</v>
      </c>
      <c r="D45" s="3">
        <f t="shared" ca="1" si="17"/>
        <v>226.71049264708816</v>
      </c>
      <c r="E45" s="3">
        <f t="shared" ca="1" si="12"/>
        <v>0.58476732060464154</v>
      </c>
      <c r="F45" s="3">
        <f t="shared" ca="1" si="13"/>
        <v>3.6423142997476785</v>
      </c>
      <c r="G45" s="3">
        <f t="shared" ca="1" si="18"/>
        <v>230.87554670490363</v>
      </c>
      <c r="H45" s="3">
        <f t="shared" ca="1" si="14"/>
        <v>234.51786100465131</v>
      </c>
      <c r="I45" s="3">
        <f t="shared" ca="1" si="15"/>
        <v>7.8073683575631492</v>
      </c>
      <c r="J45" s="3">
        <f t="shared" ca="1" si="16"/>
        <v>4.1650540578154676</v>
      </c>
      <c r="K45" s="3">
        <f t="shared" ca="1" si="19"/>
        <v>0</v>
      </c>
    </row>
    <row r="46" spans="1:11" x14ac:dyDescent="0.45">
      <c r="A46">
        <v>45</v>
      </c>
      <c r="B46" s="2">
        <f t="shared" ca="1" si="10"/>
        <v>0.95800301015616507</v>
      </c>
      <c r="C46" s="3">
        <f t="shared" ca="1" si="11"/>
        <v>9.6220270914054851</v>
      </c>
      <c r="D46" s="3">
        <f t="shared" ca="1" si="17"/>
        <v>236.33251973849366</v>
      </c>
      <c r="E46" s="3">
        <f t="shared" ca="1" si="12"/>
        <v>0.92943948485116346</v>
      </c>
      <c r="F46" s="3">
        <f t="shared" ca="1" si="13"/>
        <v>7.4148876624313447</v>
      </c>
      <c r="G46" s="3">
        <f t="shared" ca="1" si="18"/>
        <v>236.33251973849366</v>
      </c>
      <c r="H46" s="3">
        <f t="shared" ca="1" si="14"/>
        <v>243.747407400925</v>
      </c>
      <c r="I46" s="3">
        <f t="shared" ca="1" si="15"/>
        <v>7.4148876624313402</v>
      </c>
      <c r="J46" s="3">
        <f t="shared" ca="1" si="16"/>
        <v>0</v>
      </c>
      <c r="K46" s="3">
        <f t="shared" ca="1" si="19"/>
        <v>1.8146587338423501</v>
      </c>
    </row>
    <row r="47" spans="1:11" x14ac:dyDescent="0.45">
      <c r="A47">
        <v>46</v>
      </c>
      <c r="B47" s="2">
        <f t="shared" ca="1" si="10"/>
        <v>0.29472464641868479</v>
      </c>
      <c r="C47" s="3">
        <f t="shared" ca="1" si="11"/>
        <v>3.6525218177681631</v>
      </c>
      <c r="D47" s="3">
        <f t="shared" ca="1" si="17"/>
        <v>239.98504155626182</v>
      </c>
      <c r="E47" s="3">
        <f t="shared" ca="1" si="12"/>
        <v>0.8439487706349601</v>
      </c>
      <c r="F47" s="3">
        <f t="shared" ca="1" si="13"/>
        <v>6.0324608159266777</v>
      </c>
      <c r="G47" s="3">
        <f t="shared" ca="1" si="18"/>
        <v>243.747407400925</v>
      </c>
      <c r="H47" s="3">
        <f t="shared" ca="1" si="14"/>
        <v>249.77986821685167</v>
      </c>
      <c r="I47" s="3">
        <f t="shared" ca="1" si="15"/>
        <v>9.7948266605898482</v>
      </c>
      <c r="J47" s="3">
        <f t="shared" ca="1" si="16"/>
        <v>3.7623658446631794</v>
      </c>
      <c r="K47" s="3">
        <f t="shared" ca="1" si="19"/>
        <v>0</v>
      </c>
    </row>
    <row r="48" spans="1:11" x14ac:dyDescent="0.45">
      <c r="A48">
        <v>47</v>
      </c>
      <c r="B48" s="2">
        <f t="shared" ca="1" si="10"/>
        <v>0.97247341404336063</v>
      </c>
      <c r="C48" s="3">
        <f t="shared" ca="1" si="11"/>
        <v>9.7522607263902454</v>
      </c>
      <c r="D48" s="3">
        <f t="shared" ca="1" si="17"/>
        <v>249.73730228265205</v>
      </c>
      <c r="E48" s="3">
        <f t="shared" ca="1" si="12"/>
        <v>0.79123367879440498</v>
      </c>
      <c r="F48" s="3">
        <f t="shared" ca="1" si="13"/>
        <v>5.4321278422046877</v>
      </c>
      <c r="G48" s="3">
        <f t="shared" ca="1" si="18"/>
        <v>249.77986821685167</v>
      </c>
      <c r="H48" s="3">
        <f t="shared" ca="1" si="14"/>
        <v>255.21199605905636</v>
      </c>
      <c r="I48" s="3">
        <f t="shared" ca="1" si="15"/>
        <v>5.4746937764043082</v>
      </c>
      <c r="J48" s="3">
        <f t="shared" ca="1" si="16"/>
        <v>4.2565934199615185E-2</v>
      </c>
      <c r="K48" s="3">
        <f t="shared" ca="1" si="19"/>
        <v>0</v>
      </c>
    </row>
    <row r="49" spans="1:11" x14ac:dyDescent="0.45">
      <c r="A49">
        <v>48</v>
      </c>
      <c r="B49" s="2">
        <f t="shared" ca="1" si="10"/>
        <v>0.51491990524836506</v>
      </c>
      <c r="C49" s="3">
        <f t="shared" ca="1" si="11"/>
        <v>5.6342791472352856</v>
      </c>
      <c r="D49" s="3">
        <f t="shared" ca="1" si="17"/>
        <v>255.37158142988733</v>
      </c>
      <c r="E49" s="3">
        <f t="shared" ca="1" si="12"/>
        <v>0.31412324879680686</v>
      </c>
      <c r="F49" s="3">
        <f t="shared" ca="1" si="13"/>
        <v>1.5474108255012111</v>
      </c>
      <c r="G49" s="3">
        <f t="shared" ca="1" si="18"/>
        <v>255.37158142988733</v>
      </c>
      <c r="H49" s="3">
        <f t="shared" ca="1" si="14"/>
        <v>256.91899225538856</v>
      </c>
      <c r="I49" s="3">
        <f t="shared" ca="1" si="15"/>
        <v>1.5474108255012311</v>
      </c>
      <c r="J49" s="3">
        <f t="shared" ca="1" si="16"/>
        <v>0</v>
      </c>
      <c r="K49" s="3">
        <f t="shared" ca="1" si="19"/>
        <v>0.15958537083096758</v>
      </c>
    </row>
    <row r="50" spans="1:11" x14ac:dyDescent="0.45">
      <c r="A50">
        <v>49</v>
      </c>
      <c r="B50" s="2">
        <f t="shared" ca="1" si="10"/>
        <v>0.51288611005627005</v>
      </c>
      <c r="C50" s="3">
        <f t="shared" ca="1" si="11"/>
        <v>5.6159749905064302</v>
      </c>
      <c r="D50" s="3">
        <f t="shared" ca="1" si="17"/>
        <v>260.98755642039373</v>
      </c>
      <c r="E50" s="3">
        <f t="shared" ca="1" si="12"/>
        <v>0.40725743369485035</v>
      </c>
      <c r="F50" s="3">
        <f t="shared" ca="1" si="13"/>
        <v>2.2961832181969326</v>
      </c>
      <c r="G50" s="3">
        <f t="shared" ca="1" si="18"/>
        <v>260.98755642039373</v>
      </c>
      <c r="H50" s="3">
        <f t="shared" ca="1" si="14"/>
        <v>263.28373963859065</v>
      </c>
      <c r="I50" s="3">
        <f t="shared" ca="1" si="15"/>
        <v>2.2961832181969157</v>
      </c>
      <c r="J50" s="3">
        <f t="shared" ca="1" si="16"/>
        <v>0</v>
      </c>
      <c r="K50" s="3">
        <f t="shared" ca="1" si="19"/>
        <v>4.0685641650051707</v>
      </c>
    </row>
    <row r="51" spans="1:11" x14ac:dyDescent="0.45">
      <c r="A51">
        <v>50</v>
      </c>
      <c r="B51" s="2">
        <f t="shared" ca="1" si="10"/>
        <v>0.89265849806699571</v>
      </c>
      <c r="C51" s="3">
        <f t="shared" ca="1" si="11"/>
        <v>9.0339264826029613</v>
      </c>
      <c r="D51" s="3">
        <f t="shared" ca="1" si="17"/>
        <v>270.02148290299669</v>
      </c>
      <c r="E51" s="3">
        <f t="shared" ca="1" si="12"/>
        <v>0.49734123464840019</v>
      </c>
      <c r="F51" s="3">
        <f t="shared" ca="1" si="13"/>
        <v>2.9800062427737348</v>
      </c>
      <c r="G51" s="3">
        <f t="shared" ca="1" si="18"/>
        <v>270.02148290299669</v>
      </c>
      <c r="H51" s="3">
        <f t="shared" ca="1" si="14"/>
        <v>273.00148914577045</v>
      </c>
      <c r="I51" s="3">
        <f t="shared" ca="1" si="15"/>
        <v>2.9800062427737544</v>
      </c>
      <c r="J51" s="3">
        <f t="shared" ca="1" si="16"/>
        <v>0</v>
      </c>
      <c r="K51" s="3">
        <f t="shared" ca="1" si="19"/>
        <v>6.7377432644060491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C11" sqref="C11"/>
    </sheetView>
  </sheetViews>
  <sheetFormatPr baseColWidth="10" defaultColWidth="9.06640625" defaultRowHeight="14.25" x14ac:dyDescent="0.45"/>
  <cols>
    <col min="1" max="1" width="38" customWidth="1"/>
    <col min="2" max="2" width="39" customWidth="1"/>
    <col min="3" max="3" width="43" customWidth="1"/>
    <col min="4" max="4" width="44" customWidth="1"/>
  </cols>
  <sheetData>
    <row r="1" spans="1:4" x14ac:dyDescent="0.4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45">
      <c r="A2" t="s">
        <v>15</v>
      </c>
      <c r="B2" s="2">
        <f ca="1">AVERAGE('1. Caso Base (U-U)'!I2:I51)</f>
        <v>4.2035753733045649</v>
      </c>
      <c r="C2" s="2">
        <f ca="1">AVERAGE('2. Escenario 1 (Exp-U)'!I2:I51)</f>
        <v>4.5161707091613099</v>
      </c>
      <c r="D2" s="2">
        <f ca="1">AVERAGE('3. Escenario 2 (U-Norm)'!I2:I51)</f>
        <v>3.6665766013564549</v>
      </c>
    </row>
    <row r="3" spans="1:4" x14ac:dyDescent="0.45">
      <c r="A3" t="s">
        <v>16</v>
      </c>
      <c r="B3" s="2">
        <f ca="1">SUM('1. Caso Base (U-U)'!K2:K51)</f>
        <v>124.85427687439949</v>
      </c>
      <c r="C3" s="2">
        <f ca="1">SUM('2. Escenario 1 (Exp-U)'!K2:K51)</f>
        <v>260.28725037930775</v>
      </c>
      <c r="D3" s="2">
        <f ca="1">SUM('3. Escenario 2 (U-Norm)'!K2:K51)</f>
        <v>113.0233602314712</v>
      </c>
    </row>
    <row r="4" spans="1:4" x14ac:dyDescent="0.45">
      <c r="A4" t="s">
        <v>17</v>
      </c>
      <c r="B4" s="2">
        <f ca="1">AVERAGE('1. Caso Base (U-U)'!J2:J51)</f>
        <v>0.69619696262791875</v>
      </c>
      <c r="C4" s="2">
        <f ca="1">AVERAGE('2. Escenario 1 (Exp-U)'!J2:J51)</f>
        <v>0.93637981347858013</v>
      </c>
      <c r="D4" s="2">
        <f ca="1">AVERAGE('3. Escenario 2 (U-Norm)'!J2:J51)</f>
        <v>0.46701402307046991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1. Caso Base (U-U)</vt:lpstr>
      <vt:lpstr>2. Escenario 1 (Exp-U)</vt:lpstr>
      <vt:lpstr>3. Escenario 2 (U-Norm)</vt:lpstr>
      <vt:lpstr>Resumen y Comparación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 Nicolás Muñoz Cortés</cp:lastModifiedBy>
  <dcterms:created xsi:type="dcterms:W3CDTF">2026-04-29T17:15:09Z</dcterms:created>
  <dcterms:modified xsi:type="dcterms:W3CDTF">2026-04-29T17:17:16Z</dcterms:modified>
</cp:coreProperties>
</file>